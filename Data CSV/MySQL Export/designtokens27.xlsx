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Absence2\Data CSV\MySQL Export\"/>
    </mc:Choice>
  </mc:AlternateContent>
  <xr:revisionPtr revIDLastSave="0" documentId="8_{D8B640E3-726B-491A-AED8-33EFF8A571A8}" xr6:coauthVersionLast="47" xr6:coauthVersionMax="47" xr10:uidLastSave="{00000000-0000-0000-0000-000000000000}"/>
  <bookViews>
    <workbookView xWindow="-105" yWindow="0" windowWidth="19410" windowHeight="15585" activeTab="1" xr2:uid="{5265CD23-E258-4107-8930-BA65E5E6C9F8}"/>
  </bookViews>
  <sheets>
    <sheet name="designtokens27" sheetId="1" r:id="rId1"/>
    <sheet name="Sheet1" sheetId="2" r:id="rId2"/>
  </sheets>
  <externalReferences>
    <externalReference r:id="rId3"/>
  </externalReferences>
  <calcPr calcId="0"/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E5" i="2"/>
  <c r="E4" i="2"/>
  <c r="E3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</calcChain>
</file>

<file path=xl/sharedStrings.xml><?xml version="1.0" encoding="utf-8"?>
<sst xmlns="http://schemas.openxmlformats.org/spreadsheetml/2006/main" count="17022" uniqueCount="3235">
  <si>
    <t>Id</t>
  </si>
  <si>
    <t>Scope</t>
  </si>
  <si>
    <t>ContentType</t>
  </si>
  <si>
    <t>TokenKey</t>
  </si>
  <si>
    <t>Description</t>
  </si>
  <si>
    <t>CssVariable</t>
  </si>
  <si>
    <t>DefaultValue</t>
  </si>
  <si>
    <t>CurrentValue</t>
  </si>
  <si>
    <t>ComponentGroup</t>
  </si>
  <si>
    <t>Category</t>
  </si>
  <si>
    <t>Family</t>
  </si>
  <si>
    <t>Variant</t>
  </si>
  <si>
    <t>Property</t>
  </si>
  <si>
    <t>GroupName</t>
  </si>
  <si>
    <t>IsActive</t>
  </si>
  <si>
    <t>Enabled</t>
  </si>
  <si>
    <t>SortOrder</t>
  </si>
  <si>
    <t>CreatedAt</t>
  </si>
  <si>
    <t>UpdatedAt</t>
  </si>
  <si>
    <t>global</t>
  </si>
  <si>
    <t>Global</t>
  </si>
  <si>
    <t>color-primary</t>
  </si>
  <si>
    <t>Primary brand colour</t>
  </si>
  <si>
    <t>#0d6efd</t>
  </si>
  <si>
    <t>color</t>
  </si>
  <si>
    <t>primary</t>
  </si>
  <si>
    <t>bg</t>
  </si>
  <si>
    <t>Colors</t>
  </si>
  <si>
    <t>component</t>
  </si>
  <si>
    <t>Button</t>
  </si>
  <si>
    <t>btn-basic-primary-bg</t>
  </si>
  <si>
    <t>Background colour for Basic Primary button</t>
  </si>
  <si>
    <t>btn</t>
  </si>
  <si>
    <t>basic</t>
  </si>
  <si>
    <t>Basic-Primary</t>
  </si>
  <si>
    <t>btn-basic-primary-text</t>
  </si>
  <si>
    <t>Text colour for Basic Primary button</t>
  </si>
  <si>
    <t>#ffffff</t>
  </si>
  <si>
    <t>text</t>
  </si>
  <si>
    <t>btn-basic-primary-border</t>
  </si>
  <si>
    <t>Border colour for Basic Primary button</t>
  </si>
  <si>
    <t>#0a58ca</t>
  </si>
  <si>
    <t>border</t>
  </si>
  <si>
    <t>btn-basic-primary-hover-bg</t>
  </si>
  <si>
    <t>Hover background colour for Basic Primary button</t>
  </si>
  <si>
    <t>#0b5ed7</t>
  </si>
  <si>
    <t>hover-bg</t>
  </si>
  <si>
    <t>btn-basic-primary-hover-text</t>
  </si>
  <si>
    <t>Hover text colour for Basic Primary button</t>
  </si>
  <si>
    <t>hover-text</t>
  </si>
  <si>
    <t>btn-basic-primary-hover-border</t>
  </si>
  <si>
    <t>Hover border colour for Basic Primary button</t>
  </si>
  <si>
    <t>#0a53be</t>
  </si>
  <si>
    <t>hover-border</t>
  </si>
  <si>
    <t>btn-basic-primary-disabled-bg</t>
  </si>
  <si>
    <t>Disabled background colour for Basic Primary button</t>
  </si>
  <si>
    <t>#cfe2ff</t>
  </si>
  <si>
    <t>disabled-bg</t>
  </si>
  <si>
    <t>btn-basic-primary-disabled-text</t>
  </si>
  <si>
    <t>Disabled text colour for Basic Primary button</t>
  </si>
  <si>
    <t>#6c757d</t>
  </si>
  <si>
    <t>disabled-text</t>
  </si>
  <si>
    <t>btn-basic-primary-disabled-border</t>
  </si>
  <si>
    <t>Disabled border colour for Basic Primary button</t>
  </si>
  <si>
    <t>#b6c5d6</t>
  </si>
  <si>
    <t>disabled-border</t>
  </si>
  <si>
    <t>btn-basic-primary-shadow</t>
  </si>
  <si>
    <t>Shadow style for Basic Primary button</t>
  </si>
  <si>
    <t>0px 1px 2px rgba(0,0,0,0.15)</t>
  </si>
  <si>
    <t>style</t>
  </si>
  <si>
    <t>shadow</t>
  </si>
  <si>
    <t>btn-basic-primary-radius</t>
  </si>
  <si>
    <t>Border radius for Basic Primary button</t>
  </si>
  <si>
    <t>4px</t>
  </si>
  <si>
    <t>radius</t>
  </si>
  <si>
    <t>btn-basic-primary-padding-x</t>
  </si>
  <si>
    <t>Horizontal padding for Basic Primary button</t>
  </si>
  <si>
    <t>12px</t>
  </si>
  <si>
    <t>layout</t>
  </si>
  <si>
    <t>padding-x</t>
  </si>
  <si>
    <t>btn-basic-primary-padding-y</t>
  </si>
  <si>
    <t>Vertical padding for Basic Primary button</t>
  </si>
  <si>
    <t>8px</t>
  </si>
  <si>
    <t>padding-y</t>
  </si>
  <si>
    <t>btn-basic-primary-gap</t>
  </si>
  <si>
    <t>Gap between icon and text for Basic Primary button</t>
  </si>
  <si>
    <t>6px</t>
  </si>
  <si>
    <t>gap</t>
  </si>
  <si>
    <t>btn-basic-primary-focus-ring</t>
  </si>
  <si>
    <t>Focus ring style for Basic Primary button</t>
  </si>
  <si>
    <t>0 0 0 3px rgba(13,110,253,0.25)</t>
  </si>
  <si>
    <t>focus-ring</t>
  </si>
  <si>
    <t>btn-basic-primary-outline</t>
  </si>
  <si>
    <t>Outline style for Basic Primary button</t>
  </si>
  <si>
    <t>none</t>
  </si>
  <si>
    <t>outline</t>
  </si>
  <si>
    <t>btn-basic-primary-transition</t>
  </si>
  <si>
    <t>Transition style for Basic Primary button</t>
  </si>
  <si>
    <t>all 0.2s ease-in-out</t>
  </si>
  <si>
    <t>transition</t>
  </si>
  <si>
    <t>btn-basic-primary-icon-color</t>
  </si>
  <si>
    <t>Icon colour for Basic Primary button</t>
  </si>
  <si>
    <t>icon-color</t>
  </si>
  <si>
    <t>btn-basic-primary-icon-size</t>
  </si>
  <si>
    <t>Icon size for Basic Primary button</t>
  </si>
  <si>
    <t>16px</t>
  </si>
  <si>
    <t>icon-size</t>
  </si>
  <si>
    <t>btn-basic-primary-line-height</t>
  </si>
  <si>
    <t>Line height for Basic Primary button text</t>
  </si>
  <si>
    <t>line-height</t>
  </si>
  <si>
    <t>btn-secondary-bg</t>
  </si>
  <si>
    <t>Secondary button background</t>
  </si>
  <si>
    <t>transparent</t>
  </si>
  <si>
    <t>secondary</t>
  </si>
  <si>
    <t>Basic-Secondary</t>
  </si>
  <si>
    <t>btn-secondary-text</t>
  </si>
  <si>
    <t>Secondary button text</t>
  </si>
  <si>
    <t>#212529</t>
  </si>
  <si>
    <t>btn-secondary-border</t>
  </si>
  <si>
    <t>Secondary button border</t>
  </si>
  <si>
    <t>#dee2e6</t>
  </si>
  <si>
    <t>btn-secondary-bg-hover</t>
  </si>
  <si>
    <t>Secondary button hover background</t>
  </si>
  <si>
    <t>#f8f9fa</t>
  </si>
  <si>
    <t>hover</t>
  </si>
  <si>
    <t>btn-secondary-text-hover</t>
  </si>
  <si>
    <t>Secondary button hover text (fallback)</t>
  </si>
  <si>
    <t>btn-secondary-border-hover</t>
  </si>
  <si>
    <t>Secondary button hover border (fallback)</t>
  </si>
  <si>
    <t>btn-secondary-bg-disabled</t>
  </si>
  <si>
    <t>Secondary button disabled background (fallback)</t>
  </si>
  <si>
    <t>disabled</t>
  </si>
  <si>
    <t>btn-secondary-text-disabled</t>
  </si>
  <si>
    <t>Secondary button disabled text (fallback)</t>
  </si>
  <si>
    <t>btn-secondary-border-disabled</t>
  </si>
  <si>
    <t>Secondary button disabled border (fallback)</t>
  </si>
  <si>
    <t>btn-success-bg</t>
  </si>
  <si>
    <t>Success button background</t>
  </si>
  <si>
    <t>#198754</t>
  </si>
  <si>
    <t>success</t>
  </si>
  <si>
    <t>Basic-Success</t>
  </si>
  <si>
    <t>btn-success-text</t>
  </si>
  <si>
    <t>Success button text</t>
  </si>
  <si>
    <t>btn-success-border</t>
  </si>
  <si>
    <t>Success button border</t>
  </si>
  <si>
    <t>btn-success-bg-hover</t>
  </si>
  <si>
    <t>Success button hover background</t>
  </si>
  <si>
    <t>#157347</t>
  </si>
  <si>
    <t>btn-success-text-hover</t>
  </si>
  <si>
    <t>Success button hover text (fallback)</t>
  </si>
  <si>
    <t>btn-success-border-hover</t>
  </si>
  <si>
    <t>Success button hover border (fallback)</t>
  </si>
  <si>
    <t>btn-success-bg-disabled</t>
  </si>
  <si>
    <t>Success button disabled background (fallback)</t>
  </si>
  <si>
    <t>btn-success-text-disabled</t>
  </si>
  <si>
    <t>Success button disabled text (fallback)</t>
  </si>
  <si>
    <t>btn-success-border-disabled</t>
  </si>
  <si>
    <t>Success button disabled border (fallback)</t>
  </si>
  <si>
    <t>btn-danger-bg</t>
  </si>
  <si>
    <t>Danger button background</t>
  </si>
  <si>
    <t>#dc3545</t>
  </si>
  <si>
    <t>danger</t>
  </si>
  <si>
    <t>Basic-Danger</t>
  </si>
  <si>
    <t>btn-danger-text</t>
  </si>
  <si>
    <t>Danger button text</t>
  </si>
  <si>
    <t>btn-danger-border</t>
  </si>
  <si>
    <t>Danger button border</t>
  </si>
  <si>
    <t>btn-danger-bg-hover</t>
  </si>
  <si>
    <t>Danger button hover background</t>
  </si>
  <si>
    <t>#bb2d3b</t>
  </si>
  <si>
    <t>btn-danger-text-hover</t>
  </si>
  <si>
    <t>Danger button hover text (fallback)</t>
  </si>
  <si>
    <t>btn-danger-border-hover</t>
  </si>
  <si>
    <t>Danger button hover border (fallback)</t>
  </si>
  <si>
    <t>btn-danger-bg-disabled</t>
  </si>
  <si>
    <t>Danger button disabled background (fallback)</t>
  </si>
  <si>
    <t>btn-danger-text-disabled</t>
  </si>
  <si>
    <t>Danger button disabled text (fallback)</t>
  </si>
  <si>
    <t>btn-danger-border-disabled</t>
  </si>
  <si>
    <t>Danger button disabled border (fallback)</t>
  </si>
  <si>
    <t>btn-warning-bg</t>
  </si>
  <si>
    <t>Warning button background</t>
  </si>
  <si>
    <t>#ffc107</t>
  </si>
  <si>
    <t>warning</t>
  </si>
  <si>
    <t>Basic-Warning</t>
  </si>
  <si>
    <t>btn-warning-text</t>
  </si>
  <si>
    <t>Warning button text</t>
  </si>
  <si>
    <t>btn-warning-border</t>
  </si>
  <si>
    <t>Warning button border</t>
  </si>
  <si>
    <t>btn-warning-bg-hover</t>
  </si>
  <si>
    <t>Warning button hover background</t>
  </si>
  <si>
    <t>#ffca2c</t>
  </si>
  <si>
    <t>btn-warning-text-hover</t>
  </si>
  <si>
    <t>Warning button hover text (fallback)</t>
  </si>
  <si>
    <t>btn-warning-border-hover</t>
  </si>
  <si>
    <t>Warning button hover border (fallback)</t>
  </si>
  <si>
    <t>btn-warning-bg-disabled</t>
  </si>
  <si>
    <t>Warning button disabled background (fallback)</t>
  </si>
  <si>
    <t>btn-warning-text-disabled</t>
  </si>
  <si>
    <t>Warning button disabled text (fallback)</t>
  </si>
  <si>
    <t>btn-warning-border-disabled</t>
  </si>
  <si>
    <t>Warning button disabled border (fallback)</t>
  </si>
  <si>
    <t>btn-info-bg</t>
  </si>
  <si>
    <t>Info button background</t>
  </si>
  <si>
    <t>#0dcaf0</t>
  </si>
  <si>
    <t>info</t>
  </si>
  <si>
    <t>Basic-Info</t>
  </si>
  <si>
    <t>btn-info-text</t>
  </si>
  <si>
    <t>Info button text</t>
  </si>
  <si>
    <t>btn-info-border</t>
  </si>
  <si>
    <t>Info button border</t>
  </si>
  <si>
    <t>btn-info-bg-hover</t>
  </si>
  <si>
    <t>Info button hover background</t>
  </si>
  <si>
    <t>#31d2f2</t>
  </si>
  <si>
    <t>btn-info-text-hover</t>
  </si>
  <si>
    <t>Info button hover text (fallback)</t>
  </si>
  <si>
    <t>btn-info-border-hover</t>
  </si>
  <si>
    <t>Info button hover border (fallback)</t>
  </si>
  <si>
    <t>btn-info-bg-disabled</t>
  </si>
  <si>
    <t>Info button disabled background (fallback)</t>
  </si>
  <si>
    <t>btn-info-text-disabled</t>
  </si>
  <si>
    <t>Info button disabled text (fallback)</t>
  </si>
  <si>
    <t>btn-info-border-disabled</t>
  </si>
  <si>
    <t>Info button disabled border (fallback)</t>
  </si>
  <si>
    <t>btn-light-bg</t>
  </si>
  <si>
    <t>Light button background</t>
  </si>
  <si>
    <t>light</t>
  </si>
  <si>
    <t>Basic-Light</t>
  </si>
  <si>
    <t>btn-light-text</t>
  </si>
  <si>
    <t>Light button text</t>
  </si>
  <si>
    <t>btn-light-border</t>
  </si>
  <si>
    <t>Light button border</t>
  </si>
  <si>
    <t>btn-light-bg-hover</t>
  </si>
  <si>
    <t>Light button hover background</t>
  </si>
  <si>
    <t>#e2e6ea</t>
  </si>
  <si>
    <t>btn-light-text-hover</t>
  </si>
  <si>
    <t>Light button hover text</t>
  </si>
  <si>
    <t>btn-light-border-hover</t>
  </si>
  <si>
    <t>Light button hover border</t>
  </si>
  <si>
    <t>#dae0e5</t>
  </si>
  <si>
    <t>btn-light-bg-disabled</t>
  </si>
  <si>
    <t>Light button disabled background</t>
  </si>
  <si>
    <t>btn-light-text-disabled</t>
  </si>
  <si>
    <t>Light button disabled text</t>
  </si>
  <si>
    <t>btn-light-border-disabled</t>
  </si>
  <si>
    <t>Light button disabled border</t>
  </si>
  <si>
    <t>btn-dark-bg</t>
  </si>
  <si>
    <t>Dark button background</t>
  </si>
  <si>
    <t>dark</t>
  </si>
  <si>
    <t>Basic-Dark</t>
  </si>
  <si>
    <t>btn-dark-text</t>
  </si>
  <si>
    <t>Dark button text</t>
  </si>
  <si>
    <t>btn-dark-border</t>
  </si>
  <si>
    <t>Dark button border</t>
  </si>
  <si>
    <t>btn-dark-bg-hover</t>
  </si>
  <si>
    <t>Dark button hover background</t>
  </si>
  <si>
    <t>#1c1f23</t>
  </si>
  <si>
    <t>btn-dark-text-hover</t>
  </si>
  <si>
    <t>Dark button hover text</t>
  </si>
  <si>
    <t>btn-dark-border-hover</t>
  </si>
  <si>
    <t>Dark button hover border</t>
  </si>
  <si>
    <t>#1a1e21</t>
  </si>
  <si>
    <t>btn-dark-bg-disabled</t>
  </si>
  <si>
    <t>Dark button disabled background</t>
  </si>
  <si>
    <t>btn-dark-text-disabled</t>
  </si>
  <si>
    <t>Dark button disabled text</t>
  </si>
  <si>
    <t>btn-dark-border-disabled</t>
  </si>
  <si>
    <t>Dark button disabled border</t>
  </si>
  <si>
    <t>btn-outline-dark-text</t>
  </si>
  <si>
    <t>Outline dark text</t>
  </si>
  <si>
    <t>btn-outline-dark-border</t>
  </si>
  <si>
    <t>Outline dark border</t>
  </si>
  <si>
    <t>btn-outline-dark-bg-hover</t>
  </si>
  <si>
    <t>Outline dark hover background</t>
  </si>
  <si>
    <t>btn-outline-dark-text-hover</t>
  </si>
  <si>
    <t>Outline dark hover text</t>
  </si>
  <si>
    <t>btn-outline-dark-border-hover</t>
  </si>
  <si>
    <t>Outline dark hover border</t>
  </si>
  <si>
    <t>btn-outline-dark-text-disabled</t>
  </si>
  <si>
    <t>Outline dark disabled text</t>
  </si>
  <si>
    <t>btn-outline-primary-bg</t>
  </si>
  <si>
    <t>Outline Primary button background</t>
  </si>
  <si>
    <t>Outline-Primary</t>
  </si>
  <si>
    <t>btn-outline-primary-text</t>
  </si>
  <si>
    <t>Outline Primary button text</t>
  </si>
  <si>
    <t>btn-outline-primary-border</t>
  </si>
  <si>
    <t>Outline Primary button border</t>
  </si>
  <si>
    <t>btn-outline-primary-hover-bg</t>
  </si>
  <si>
    <t>Outline Primary button hover background</t>
  </si>
  <si>
    <t>btn-outline-primary-hover-text</t>
  </si>
  <si>
    <t>Outline Primary button hover text</t>
  </si>
  <si>
    <t>btn-outline-primary-hover-border</t>
  </si>
  <si>
    <t>Outline Primary button hover border</t>
  </si>
  <si>
    <t>btn-outline-primary-disabled-bg</t>
  </si>
  <si>
    <t>Outline Primary button disabled background</t>
  </si>
  <si>
    <t>btn-outline-primary-disabled-text</t>
  </si>
  <si>
    <t>Outline Primary button disabled text</t>
  </si>
  <si>
    <t>btn-outline-primary-disabled-border</t>
  </si>
  <si>
    <t>Outline Primary button disabled border</t>
  </si>
  <si>
    <t>btn-outline-secondary-bg</t>
  </si>
  <si>
    <t>Outline Secondary button background</t>
  </si>
  <si>
    <t>Outline-Secondary</t>
  </si>
  <si>
    <t>btn-outline-secondary-text</t>
  </si>
  <si>
    <t>Outline Secondary button text</t>
  </si>
  <si>
    <t>btn-outline-secondary-border</t>
  </si>
  <si>
    <t>Outline Secondary button border</t>
  </si>
  <si>
    <t>btn-outline-secondary-hover-bg</t>
  </si>
  <si>
    <t>Outline Secondary button hover background</t>
  </si>
  <si>
    <t>btn-outline-secondary-hover-text</t>
  </si>
  <si>
    <t>Outline Secondary button hover text</t>
  </si>
  <si>
    <t>btn-outline-secondary-hover-border</t>
  </si>
  <si>
    <t>Outline Secondary button hover border</t>
  </si>
  <si>
    <t>btn-outline-secondary-disabled-bg</t>
  </si>
  <si>
    <t>Outline Secondary button disabled background</t>
  </si>
  <si>
    <t>btn-outline-secondary-disabled-text</t>
  </si>
  <si>
    <t>Outline Secondary button disabled text</t>
  </si>
  <si>
    <t>btn-outline-secondary-disabled-border</t>
  </si>
  <si>
    <t>Outline Secondary button disabled border</t>
  </si>
  <si>
    <t>btn-outline-success-bg</t>
  </si>
  <si>
    <t>Outline Success button background</t>
  </si>
  <si>
    <t>Outline-Success</t>
  </si>
  <si>
    <t>btn-outline-success-text</t>
  </si>
  <si>
    <t>Outline Success button text</t>
  </si>
  <si>
    <t>btn-outline-success-border</t>
  </si>
  <si>
    <t>Outline Success button border</t>
  </si>
  <si>
    <t>btn-outline-success-hover-bg</t>
  </si>
  <si>
    <t>Outline Success button hover background</t>
  </si>
  <si>
    <t>btn-outline-success-hover-text</t>
  </si>
  <si>
    <t>Outline Success button hover text</t>
  </si>
  <si>
    <t>btn-outline-success-hover-border</t>
  </si>
  <si>
    <t>Outline Success button hover border</t>
  </si>
  <si>
    <t>btn-outline-success-disabled-bg</t>
  </si>
  <si>
    <t>Outline Success button disabled background</t>
  </si>
  <si>
    <t>btn-outline-success-disabled-text</t>
  </si>
  <si>
    <t>Outline Success button disabled text</t>
  </si>
  <si>
    <t>btn-outline-success-disabled-border</t>
  </si>
  <si>
    <t>Outline Success button disabled border</t>
  </si>
  <si>
    <t>btn-outline-danger-bg</t>
  </si>
  <si>
    <t>Outline Danger button background</t>
  </si>
  <si>
    <t>Outline-Danger</t>
  </si>
  <si>
    <t>btn-outline-danger-text</t>
  </si>
  <si>
    <t>Outline Danger button text</t>
  </si>
  <si>
    <t>btn-outline-danger-border</t>
  </si>
  <si>
    <t>Outline Danger button border</t>
  </si>
  <si>
    <t>btn-outline-danger-hover-bg</t>
  </si>
  <si>
    <t>Outline Danger button hover background</t>
  </si>
  <si>
    <t>btn-outline-danger-hover-text</t>
  </si>
  <si>
    <t>Outline Danger button hover text</t>
  </si>
  <si>
    <t>btn-outline-danger-hover-border</t>
  </si>
  <si>
    <t>Outline Danger button hover border</t>
  </si>
  <si>
    <t>btn-outline-danger-disabled-bg</t>
  </si>
  <si>
    <t>Outline Danger button disabled background</t>
  </si>
  <si>
    <t>btn-outline-danger-disabled-text</t>
  </si>
  <si>
    <t>Outline Danger button disabled text</t>
  </si>
  <si>
    <t>btn-outline-danger-disabled-border</t>
  </si>
  <si>
    <t>Outline Danger button disabled border</t>
  </si>
  <si>
    <t>btn-outline-warning-bg</t>
  </si>
  <si>
    <t>Outline Warning button background</t>
  </si>
  <si>
    <t>Outline-Warning</t>
  </si>
  <si>
    <t>btn-outline-warning-text</t>
  </si>
  <si>
    <t>Outline Warning button text</t>
  </si>
  <si>
    <t>btn-outline-warning-border</t>
  </si>
  <si>
    <t>Outline Warning button border</t>
  </si>
  <si>
    <t>btn-outline-warning-hover-bg</t>
  </si>
  <si>
    <t>Outline Warning button hover background</t>
  </si>
  <si>
    <t>btn-outline-warning-hover-text</t>
  </si>
  <si>
    <t>Outline Warning button hover text</t>
  </si>
  <si>
    <t>btn-outline-warning-hover-border</t>
  </si>
  <si>
    <t>Outline Warning button hover border</t>
  </si>
  <si>
    <t>btn-outline-warning-disabled-bg</t>
  </si>
  <si>
    <t>Outline Warning button disabled background</t>
  </si>
  <si>
    <t>btn-outline-warning-disabled-text</t>
  </si>
  <si>
    <t>Outline Warning button disabled text</t>
  </si>
  <si>
    <t>btn-outline-warning-disabled-border</t>
  </si>
  <si>
    <t>Outline Warning button disabled border</t>
  </si>
  <si>
    <t>btn-outline-info-bg</t>
  </si>
  <si>
    <t>Outline Info button background</t>
  </si>
  <si>
    <t>Outline-Info</t>
  </si>
  <si>
    <t>btn-outline-info-text</t>
  </si>
  <si>
    <t>Outline Info button text</t>
  </si>
  <si>
    <t>btn-outline-info-border</t>
  </si>
  <si>
    <t>Outline Info button border</t>
  </si>
  <si>
    <t>btn-outline-info-hover-bg</t>
  </si>
  <si>
    <t>Outline Info button hover background</t>
  </si>
  <si>
    <t>btn-outline-info-hover-text</t>
  </si>
  <si>
    <t>Outline Info button hover text</t>
  </si>
  <si>
    <t>btn-outline-info-hover-border</t>
  </si>
  <si>
    <t>Outline Info button hover border</t>
  </si>
  <si>
    <t>btn-outline-info-disabled-bg</t>
  </si>
  <si>
    <t>Outline Info button disabled background</t>
  </si>
  <si>
    <t>btn-outline-info-disabled-text</t>
  </si>
  <si>
    <t>Outline Info button disabled text</t>
  </si>
  <si>
    <t>btn-outline-info-disabled-border</t>
  </si>
  <si>
    <t>Outline Info button disabled border</t>
  </si>
  <si>
    <t>btn-outline-light-bg</t>
  </si>
  <si>
    <t>Outline Light button background</t>
  </si>
  <si>
    <t>Outline-Light</t>
  </si>
  <si>
    <t>btn-outline-light-text</t>
  </si>
  <si>
    <t>Outline Light button text</t>
  </si>
  <si>
    <t>btn-outline-light-border</t>
  </si>
  <si>
    <t>Outline Light button border</t>
  </si>
  <si>
    <t>btn-outline-light-hover-bg</t>
  </si>
  <si>
    <t>Outline Light button hover background</t>
  </si>
  <si>
    <t>btn-outline-light-hover-text</t>
  </si>
  <si>
    <t>Outline Light button hover text</t>
  </si>
  <si>
    <t>btn-outline-light-hover-border</t>
  </si>
  <si>
    <t>Outline Light button hover border</t>
  </si>
  <si>
    <t>btn-outline-light-disabled-bg</t>
  </si>
  <si>
    <t>Outline Light button disabled background</t>
  </si>
  <si>
    <t>btn-outline-light-disabled-text</t>
  </si>
  <si>
    <t>Outline Light button disabled text</t>
  </si>
  <si>
    <t>btn-outline-light-disabled-border</t>
  </si>
  <si>
    <t>Outline Light button disabled border</t>
  </si>
  <si>
    <t>btn-soft-primary-bg</t>
  </si>
  <si>
    <t>Soft Primary button background</t>
  </si>
  <si>
    <t>soft</t>
  </si>
  <si>
    <t>Soft-Primary</t>
  </si>
  <si>
    <t>btn-soft-primary-text</t>
  </si>
  <si>
    <t>Soft Primary button text</t>
  </si>
  <si>
    <t>#084298</t>
  </si>
  <si>
    <t>btn-soft-primary-border</t>
  </si>
  <si>
    <t>Soft Primary button border</t>
  </si>
  <si>
    <t>btn-soft-primary-hover-bg</t>
  </si>
  <si>
    <t>Soft Primary button hover background</t>
  </si>
  <si>
    <t>#b6d4fe</t>
  </si>
  <si>
    <t>btn-soft-primary-hover-text</t>
  </si>
  <si>
    <t>Soft Primary button hover text</t>
  </si>
  <si>
    <t>#052c65</t>
  </si>
  <si>
    <t>btn-soft-primary-hover-border</t>
  </si>
  <si>
    <t>Soft Primary button hover border</t>
  </si>
  <si>
    <t>btn-soft-primary-disabled-bg</t>
  </si>
  <si>
    <t>Soft Primary button disabled background</t>
  </si>
  <si>
    <t>#e2e3e5</t>
  </si>
  <si>
    <t>btn-soft-primary-disabled-text</t>
  </si>
  <si>
    <t>Soft Primary button disabled text</t>
  </si>
  <si>
    <t>btn-soft-primary-disabled-border</t>
  </si>
  <si>
    <t>Soft Primary button disabled border</t>
  </si>
  <si>
    <t>btn-soft-secondary-bg</t>
  </si>
  <si>
    <t>Soft Secondary button background</t>
  </si>
  <si>
    <t>Soft-Secondary</t>
  </si>
  <si>
    <t>btn-soft-secondary-text</t>
  </si>
  <si>
    <t>Soft Secondary button text</t>
  </si>
  <si>
    <t>#41464b</t>
  </si>
  <si>
    <t>btn-soft-secondary-border</t>
  </si>
  <si>
    <t>Soft Secondary button border</t>
  </si>
  <si>
    <t>btn-soft-secondary-hover-bg</t>
  </si>
  <si>
    <t>Soft Secondary button hover background</t>
  </si>
  <si>
    <t>#d3d4d5</t>
  </si>
  <si>
    <t>btn-soft-secondary-hover-text</t>
  </si>
  <si>
    <t>Soft Secondary button hover text</t>
  </si>
  <si>
    <t>#2b3035</t>
  </si>
  <si>
    <t>btn-soft-secondary-hover-border</t>
  </si>
  <si>
    <t>Soft Secondary button hover border</t>
  </si>
  <si>
    <t>btn-soft-secondary-disabled-bg</t>
  </si>
  <si>
    <t>Soft Secondary button disabled background</t>
  </si>
  <si>
    <t>btn-soft-secondary-disabled-text</t>
  </si>
  <si>
    <t>Soft Secondary button disabled text</t>
  </si>
  <si>
    <t>btn-soft-secondary-disabled-border</t>
  </si>
  <si>
    <t>Soft Secondary button disabled border</t>
  </si>
  <si>
    <t>btn-soft-success-bg</t>
  </si>
  <si>
    <t>Soft Success button background</t>
  </si>
  <si>
    <t>#d1e7dd</t>
  </si>
  <si>
    <t>Soft-Success</t>
  </si>
  <si>
    <t>btn-soft-success-text</t>
  </si>
  <si>
    <t>Soft Success button text</t>
  </si>
  <si>
    <t>#0f5132</t>
  </si>
  <si>
    <t>btn-soft-success-border</t>
  </si>
  <si>
    <t>Soft Success button border</t>
  </si>
  <si>
    <t>btn-soft-success-hover-bg</t>
  </si>
  <si>
    <t>Soft Success button hover background</t>
  </si>
  <si>
    <t>#badbcc</t>
  </si>
  <si>
    <t>btn-soft-success-hover-text</t>
  </si>
  <si>
    <t>Soft Success button hover text</t>
  </si>
  <si>
    <t>#0a3622</t>
  </si>
  <si>
    <t>btn-soft-success-hover-border</t>
  </si>
  <si>
    <t>Soft Success button hover border</t>
  </si>
  <si>
    <t>btn-soft-success-disabled-bg</t>
  </si>
  <si>
    <t>Soft Success button disabled background</t>
  </si>
  <si>
    <t>btn-soft-success-disabled-text</t>
  </si>
  <si>
    <t>Soft Success button disabled text</t>
  </si>
  <si>
    <t>btn-soft-success-disabled-border</t>
  </si>
  <si>
    <t>Soft Success button disabled border</t>
  </si>
  <si>
    <t>btn-soft-danger-bg</t>
  </si>
  <si>
    <t>Soft Danger button background</t>
  </si>
  <si>
    <t>#f8d7da</t>
  </si>
  <si>
    <t>Soft-Danger</t>
  </si>
  <si>
    <t>btn-soft-danger-text</t>
  </si>
  <si>
    <t>Soft Danger button text</t>
  </si>
  <si>
    <t>#842029</t>
  </si>
  <si>
    <t>btn-soft-danger-border</t>
  </si>
  <si>
    <t>Soft Danger button border</t>
  </si>
  <si>
    <t>btn-soft-danger-hover-bg</t>
  </si>
  <si>
    <t>Soft Danger button hover background</t>
  </si>
  <si>
    <t>#f1b0b7</t>
  </si>
  <si>
    <t>btn-soft-danger-hover-text</t>
  </si>
  <si>
    <t>Soft Danger button hover text</t>
  </si>
  <si>
    <t>#58151c</t>
  </si>
  <si>
    <t>btn-soft-danger-hover-border</t>
  </si>
  <si>
    <t>Soft Danger button hover border</t>
  </si>
  <si>
    <t>btn-soft-danger-disabled-bg</t>
  </si>
  <si>
    <t>Soft Danger button disabled background</t>
  </si>
  <si>
    <t>btn-soft-danger-disabled-text</t>
  </si>
  <si>
    <t>Soft Danger button disabled text</t>
  </si>
  <si>
    <t>btn-soft-danger-disabled-border</t>
  </si>
  <si>
    <t>Soft Danger button disabled border</t>
  </si>
  <si>
    <t>btn-soft-warning-bg</t>
  </si>
  <si>
    <t>Soft Warning button background</t>
  </si>
  <si>
    <t>#fff3cd</t>
  </si>
  <si>
    <t>Soft-Warning</t>
  </si>
  <si>
    <t>btn-soft-warning-text</t>
  </si>
  <si>
    <t>Soft Warning button text</t>
  </si>
  <si>
    <t>#664d03</t>
  </si>
  <si>
    <t>btn-soft-warning-border</t>
  </si>
  <si>
    <t>Soft Warning button border</t>
  </si>
  <si>
    <t>btn-soft-warning-hover-bg</t>
  </si>
  <si>
    <t>Soft Warning button hover background</t>
  </si>
  <si>
    <t>#ffecb5</t>
  </si>
  <si>
    <t>btn-soft-warning-hover-text</t>
  </si>
  <si>
    <t>Soft Warning button hover text</t>
  </si>
  <si>
    <t>#4d3d00</t>
  </si>
  <si>
    <t>btn-soft-warning-hover-border</t>
  </si>
  <si>
    <t>Soft Warning button hover border</t>
  </si>
  <si>
    <t>btn-soft-warning-disabled-bg</t>
  </si>
  <si>
    <t>Soft Warning button disabled background</t>
  </si>
  <si>
    <t>btn-soft-warning-disabled-text</t>
  </si>
  <si>
    <t>Soft Warning button disabled text</t>
  </si>
  <si>
    <t>btn-soft-warning-disabled-border</t>
  </si>
  <si>
    <t>Soft Warning button disabled border</t>
  </si>
  <si>
    <t>btn-soft-info-bg</t>
  </si>
  <si>
    <t>Soft Info button background</t>
  </si>
  <si>
    <t>#cff4fc</t>
  </si>
  <si>
    <t>Soft-Info</t>
  </si>
  <si>
    <t>btn-soft-info-text</t>
  </si>
  <si>
    <t>Soft Info button text</t>
  </si>
  <si>
    <t>#055160</t>
  </si>
  <si>
    <t>btn-soft-info-border</t>
  </si>
  <si>
    <t>Soft Info button border</t>
  </si>
  <si>
    <t>btn-soft-info-hover-bg</t>
  </si>
  <si>
    <t>Soft Info button hover background</t>
  </si>
  <si>
    <t>#b6effb</t>
  </si>
  <si>
    <t>btn-soft-info-hover-text</t>
  </si>
  <si>
    <t>Soft Info button hover text</t>
  </si>
  <si>
    <t>#033f4c</t>
  </si>
  <si>
    <t>btn-soft-info-hover-border</t>
  </si>
  <si>
    <t>Soft Info button hover border</t>
  </si>
  <si>
    <t>btn-soft-info-disabled-bg</t>
  </si>
  <si>
    <t>Soft Info button disabled background</t>
  </si>
  <si>
    <t>btn-soft-info-disabled-text</t>
  </si>
  <si>
    <t>Soft Info button disabled text</t>
  </si>
  <si>
    <t>btn-soft-info-disabled-border</t>
  </si>
  <si>
    <t>Soft Info button disabled border</t>
  </si>
  <si>
    <t>btn-soft-light-bg</t>
  </si>
  <si>
    <t>Soft Light button background</t>
  </si>
  <si>
    <t>Soft-Light</t>
  </si>
  <si>
    <t>btn-soft-light-text</t>
  </si>
  <si>
    <t>Soft Light button text</t>
  </si>
  <si>
    <t>btn-soft-light-border</t>
  </si>
  <si>
    <t>Soft Light button border</t>
  </si>
  <si>
    <t>btn-soft-light-hover-bg</t>
  </si>
  <si>
    <t>Soft Light button hover background</t>
  </si>
  <si>
    <t>btn-soft-light-hover-text</t>
  </si>
  <si>
    <t>Soft Light button hover text</t>
  </si>
  <si>
    <t>btn-soft-light-hover-border</t>
  </si>
  <si>
    <t>Soft Light button hover border</t>
  </si>
  <si>
    <t>btn-soft-light-disabled-bg</t>
  </si>
  <si>
    <t>Soft Light button disabled background</t>
  </si>
  <si>
    <t>btn-soft-light-disabled-text</t>
  </si>
  <si>
    <t>Soft Light button disabled text</t>
  </si>
  <si>
    <t>btn-soft-light-disabled-border</t>
  </si>
  <si>
    <t>Soft Light button disabled border</t>
  </si>
  <si>
    <t>btn-icon-primary-bg</t>
  </si>
  <si>
    <t>Icon Primary button background</t>
  </si>
  <si>
    <t>icon</t>
  </si>
  <si>
    <t>Icon-Primary</t>
  </si>
  <si>
    <t>btn-icon-primary-text</t>
  </si>
  <si>
    <t>Icon Primary button text</t>
  </si>
  <si>
    <t>btn-icon-primary-border</t>
  </si>
  <si>
    <t>Icon Primary button border</t>
  </si>
  <si>
    <t>btn-icon-primary-hover-bg</t>
  </si>
  <si>
    <t>Icon Primary button hover background</t>
  </si>
  <si>
    <t>btn-icon-primary-hover-text</t>
  </si>
  <si>
    <t>Icon Primary button hover text</t>
  </si>
  <si>
    <t>btn-icon-primary-hover-border</t>
  </si>
  <si>
    <t>Icon Primary button hover border</t>
  </si>
  <si>
    <t>btn-icon-primary-disabled-bg</t>
  </si>
  <si>
    <t>Icon Primary button disabled background</t>
  </si>
  <si>
    <t>btn-icon-primary-disabled-text</t>
  </si>
  <si>
    <t>Icon Primary button disabled text</t>
  </si>
  <si>
    <t>btn-icon-primary-disabled-border</t>
  </si>
  <si>
    <t>Icon Primary button disabled border</t>
  </si>
  <si>
    <t>btn-icon-secondary-bg</t>
  </si>
  <si>
    <t>Icon Secondary button background</t>
  </si>
  <si>
    <t>Icon-Secondary</t>
  </si>
  <si>
    <t>btn-icon-secondary-text</t>
  </si>
  <si>
    <t>Icon Secondary button text</t>
  </si>
  <si>
    <t>btn-icon-secondary-border</t>
  </si>
  <si>
    <t>Icon Secondary button border</t>
  </si>
  <si>
    <t>btn-icon-secondary-hover-bg</t>
  </si>
  <si>
    <t>Icon Secondary button hover background</t>
  </si>
  <si>
    <t>btn-icon-secondary-hover-text</t>
  </si>
  <si>
    <t>Icon Secondary button hover text</t>
  </si>
  <si>
    <t>btn-icon-secondary-hover-border</t>
  </si>
  <si>
    <t>Icon Secondary button hover border</t>
  </si>
  <si>
    <t>btn-icon-secondary-disabled-bg</t>
  </si>
  <si>
    <t>Icon Secondary button disabled background</t>
  </si>
  <si>
    <t>btn-icon-secondary-disabled-text</t>
  </si>
  <si>
    <t>Icon Secondary button disabled text</t>
  </si>
  <si>
    <t>btn-icon-secondary-disabled-border</t>
  </si>
  <si>
    <t>Icon Secondary button disabled border</t>
  </si>
  <si>
    <t>btn-icon-success-bg</t>
  </si>
  <si>
    <t>Icon Success button background</t>
  </si>
  <si>
    <t>Icon-Success</t>
  </si>
  <si>
    <t>btn-icon-success-text</t>
  </si>
  <si>
    <t>Icon Success button text</t>
  </si>
  <si>
    <t>btn-icon-success-border</t>
  </si>
  <si>
    <t>Icon Success button border</t>
  </si>
  <si>
    <t>btn-icon-success-hover-bg</t>
  </si>
  <si>
    <t>Icon Success button hover background</t>
  </si>
  <si>
    <t>btn-icon-success-hover-text</t>
  </si>
  <si>
    <t>Icon Success button hover text</t>
  </si>
  <si>
    <t>btn-icon-success-hover-border</t>
  </si>
  <si>
    <t>Icon Success button hover border</t>
  </si>
  <si>
    <t>#146c43</t>
  </si>
  <si>
    <t>btn-icon-success-disabled-bg</t>
  </si>
  <si>
    <t>Icon Success button disabled background</t>
  </si>
  <si>
    <t>btn-icon-success-disabled-text</t>
  </si>
  <si>
    <t>Icon Success button disabled text</t>
  </si>
  <si>
    <t>btn-icon-success-disabled-border</t>
  </si>
  <si>
    <t>Icon Success button disabled border</t>
  </si>
  <si>
    <t>btn-icon-danger-bg</t>
  </si>
  <si>
    <t>Icon Danger button background</t>
  </si>
  <si>
    <t>Icon-Danger</t>
  </si>
  <si>
    <t>btn-icon-danger-text</t>
  </si>
  <si>
    <t>Icon Danger button text</t>
  </si>
  <si>
    <t>btn-icon-danger-border</t>
  </si>
  <si>
    <t>Icon Danger button border</t>
  </si>
  <si>
    <t>btn-icon-danger-hover-bg</t>
  </si>
  <si>
    <t>Icon Danger button hover background</t>
  </si>
  <si>
    <t>btn-icon-danger-hover-text</t>
  </si>
  <si>
    <t>Icon Danger button hover text</t>
  </si>
  <si>
    <t>btn-icon-danger-hover-border</t>
  </si>
  <si>
    <t>Icon Danger button hover border</t>
  </si>
  <si>
    <t>#a52834</t>
  </si>
  <si>
    <t>btn-icon-danger-disabled-bg</t>
  </si>
  <si>
    <t>Icon Danger button disabled background</t>
  </si>
  <si>
    <t>btn-icon-danger-disabled-text</t>
  </si>
  <si>
    <t>Icon Danger button disabled text</t>
  </si>
  <si>
    <t>btn-icon-danger-disabled-border</t>
  </si>
  <si>
    <t>Icon Danger button disabled border</t>
  </si>
  <si>
    <t>btn-icon-warning-bg</t>
  </si>
  <si>
    <t>Icon Warning button background</t>
  </si>
  <si>
    <t>Icon-Warning</t>
  </si>
  <si>
    <t>btn-icon-warning-text</t>
  </si>
  <si>
    <t>Icon Warning button text</t>
  </si>
  <si>
    <t>btn-icon-warning-border</t>
  </si>
  <si>
    <t>Icon Warning button border</t>
  </si>
  <si>
    <t>btn-icon-warning-hover-bg</t>
  </si>
  <si>
    <t>Icon Warning button hover background</t>
  </si>
  <si>
    <t>btn-icon-warning-hover-text</t>
  </si>
  <si>
    <t>Icon Warning button hover text</t>
  </si>
  <si>
    <t>btn-icon-warning-hover-border</t>
  </si>
  <si>
    <t>Icon Warning button hover border</t>
  </si>
  <si>
    <t>#e0a800</t>
  </si>
  <si>
    <t>btn-icon-warning-disabled-bg</t>
  </si>
  <si>
    <t>Icon Warning button disabled background</t>
  </si>
  <si>
    <t>btn-icon-warning-disabled-text</t>
  </si>
  <si>
    <t>Icon Warning button disabled text</t>
  </si>
  <si>
    <t>btn-icon-warning-disabled-border</t>
  </si>
  <si>
    <t>Icon Warning button disabled border</t>
  </si>
  <si>
    <t>btn-icon-info-bg</t>
  </si>
  <si>
    <t>Icon Info button background</t>
  </si>
  <si>
    <t>Icon-Info</t>
  </si>
  <si>
    <t>btn-icon-info-text</t>
  </si>
  <si>
    <t>Icon Info button text</t>
  </si>
  <si>
    <t>btn-icon-info-border</t>
  </si>
  <si>
    <t>Icon Info button border</t>
  </si>
  <si>
    <t>btn-icon-info-hover-bg</t>
  </si>
  <si>
    <t>Icon Info button hover background</t>
  </si>
  <si>
    <t>btn-icon-info-hover-text</t>
  </si>
  <si>
    <t>Icon Info button hover text</t>
  </si>
  <si>
    <t>btn-icon-info-hover-border</t>
  </si>
  <si>
    <t>Icon Info button hover border</t>
  </si>
  <si>
    <t>#25c3e8</t>
  </si>
  <si>
    <t>btn-icon-info-disabled-bg</t>
  </si>
  <si>
    <t>Icon Info button disabled background</t>
  </si>
  <si>
    <t>btn-icon-info-disabled-text</t>
  </si>
  <si>
    <t>Icon Info button disabled text</t>
  </si>
  <si>
    <t>btn-icon-info-disabled-border</t>
  </si>
  <si>
    <t>Icon Info button disabled border</t>
  </si>
  <si>
    <t>btn-icon-light-bg</t>
  </si>
  <si>
    <t>Icon Light button background</t>
  </si>
  <si>
    <t>Icon-Light</t>
  </si>
  <si>
    <t>btn-icon-light-text</t>
  </si>
  <si>
    <t>Icon Light button text</t>
  </si>
  <si>
    <t>btn-icon-light-border</t>
  </si>
  <si>
    <t>Icon Light button border</t>
  </si>
  <si>
    <t>btn-icon-light-hover-bg</t>
  </si>
  <si>
    <t>Icon Light button hover background</t>
  </si>
  <si>
    <t>btn-icon-light-hover-text</t>
  </si>
  <si>
    <t>Icon Light button hover text</t>
  </si>
  <si>
    <t>btn-icon-light-hover-border</t>
  </si>
  <si>
    <t>Icon Light button hover border</t>
  </si>
  <si>
    <t>btn-icon-light-disabled-bg</t>
  </si>
  <si>
    <t>Icon Light button disabled background</t>
  </si>
  <si>
    <t>btn-icon-light-disabled-text</t>
  </si>
  <si>
    <t>Icon Light button disabled text</t>
  </si>
  <si>
    <t>btn-icon-light-disabled-border</t>
  </si>
  <si>
    <t>Icon Light button disabled border</t>
  </si>
  <si>
    <t>btn-icon-dark-bg</t>
  </si>
  <si>
    <t>Icon Dark button background</t>
  </si>
  <si>
    <t>Icon-Dark</t>
  </si>
  <si>
    <t>btn-icon-dark-text</t>
  </si>
  <si>
    <t>Icon Dark button text</t>
  </si>
  <si>
    <t>btn-icon-dark-border</t>
  </si>
  <si>
    <t>Icon Dark button border</t>
  </si>
  <si>
    <t>btn-icon-dark-hover-bg</t>
  </si>
  <si>
    <t>Icon Dark button hover background</t>
  </si>
  <si>
    <t>btn-icon-dark-hover-text</t>
  </si>
  <si>
    <t>Icon Dark button hover text</t>
  </si>
  <si>
    <t>btn-icon-dark-hover-border</t>
  </si>
  <si>
    <t>Icon Dark button hover border</t>
  </si>
  <si>
    <t>#181a1d</t>
  </si>
  <si>
    <t>btn-icon-dark-disabled-bg</t>
  </si>
  <si>
    <t>Icon Dark button disabled background</t>
  </si>
  <si>
    <t>btn-icon-dark-disabled-text</t>
  </si>
  <si>
    <t>Icon Dark button disabled text</t>
  </si>
  <si>
    <t>btn-icon-dark-disabled-border</t>
  </si>
  <si>
    <t>Icon Dark button disabled border</t>
  </si>
  <si>
    <t>btn-social-facebook-bg</t>
  </si>
  <si>
    <t>Social Facebook background</t>
  </si>
  <si>
    <t>#1877f2</t>
  </si>
  <si>
    <t>social</t>
  </si>
  <si>
    <t>facebook</t>
  </si>
  <si>
    <t>Social-Facebook</t>
  </si>
  <si>
    <t>btn-social-facebook-icon-color</t>
  </si>
  <si>
    <t>Social Facebook icon color</t>
  </si>
  <si>
    <t>btn-social-facebook-hover-bg</t>
  </si>
  <si>
    <t>Social Facebook hover background</t>
  </si>
  <si>
    <t>#166fe5</t>
  </si>
  <si>
    <t>btn-social-twitter-bg</t>
  </si>
  <si>
    <t>Social Twitter background</t>
  </si>
  <si>
    <t>#1da1f2</t>
  </si>
  <si>
    <t>twitter</t>
  </si>
  <si>
    <t>Social-Twitter</t>
  </si>
  <si>
    <t>btn-social-twitter-icon-color</t>
  </si>
  <si>
    <t>Social Twitter icon color</t>
  </si>
  <si>
    <t>btn-social-twitter-hover-bg</t>
  </si>
  <si>
    <t>Social Twitter hover background</t>
  </si>
  <si>
    <t>#0d95e8</t>
  </si>
  <si>
    <t>btn-social-instagram-bg</t>
  </si>
  <si>
    <t>Social Instagram background</t>
  </si>
  <si>
    <t>#e1306c</t>
  </si>
  <si>
    <t>instagram</t>
  </si>
  <si>
    <t>Social-Instagram</t>
  </si>
  <si>
    <t>btn-social-instagram-icon-color</t>
  </si>
  <si>
    <t>Social Instagram icon color</t>
  </si>
  <si>
    <t>btn-social-instagram-hover-bg</t>
  </si>
  <si>
    <t>Social Instagram hover background</t>
  </si>
  <si>
    <t>#d1225c</t>
  </si>
  <si>
    <t>btn-social-linkedin-bg</t>
  </si>
  <si>
    <t>Social LinkedIn background</t>
  </si>
  <si>
    <t>#0077b5</t>
  </si>
  <si>
    <t>linkedin</t>
  </si>
  <si>
    <t>Social-Linkedin</t>
  </si>
  <si>
    <t>btn-social-linkedin-icon-color</t>
  </si>
  <si>
    <t>Social LinkedIn icon color</t>
  </si>
  <si>
    <t>btn-social-linkedin-hover-bg</t>
  </si>
  <si>
    <t>Social LinkedIn hover background</t>
  </si>
  <si>
    <t>#006699</t>
  </si>
  <si>
    <t>btn-social-whatsapp-bg</t>
  </si>
  <si>
    <t>Social WhatsApp background</t>
  </si>
  <si>
    <t>#25d366</t>
  </si>
  <si>
    <t>whatsapp</t>
  </si>
  <si>
    <t>Social-Whatsapp</t>
  </si>
  <si>
    <t>btn-social-whatsapp-icon-color</t>
  </si>
  <si>
    <t>Social WhatsApp icon color</t>
  </si>
  <si>
    <t>btn-social-whatsapp-hover-bg</t>
  </si>
  <si>
    <t>Social WhatsApp hover background</t>
  </si>
  <si>
    <t>#20ba5a</t>
  </si>
  <si>
    <t>btn-social-reddit-bg</t>
  </si>
  <si>
    <t>Social Reddit background</t>
  </si>
  <si>
    <t>#ff4500</t>
  </si>
  <si>
    <t>reddit</t>
  </si>
  <si>
    <t>Social-Reddit</t>
  </si>
  <si>
    <t>btn-social-reddit-icon-color</t>
  </si>
  <si>
    <t>Social Reddit icon color</t>
  </si>
  <si>
    <t>btn-social-reddit-hover-bg</t>
  </si>
  <si>
    <t>Social Reddit hover background</t>
  </si>
  <si>
    <t>#e03d00</t>
  </si>
  <si>
    <t>btn-social-youtube-bg</t>
  </si>
  <si>
    <t>Social YouTube background</t>
  </si>
  <si>
    <t>#ff0000</t>
  </si>
  <si>
    <t>youtube</t>
  </si>
  <si>
    <t>Social-Youtube</t>
  </si>
  <si>
    <t>btn-social-youtube-icon-color</t>
  </si>
  <si>
    <t>Social YouTube icon color</t>
  </si>
  <si>
    <t>btn-social-youtube-hover-bg</t>
  </si>
  <si>
    <t>Social YouTube hover background</t>
  </si>
  <si>
    <t>#e60000</t>
  </si>
  <si>
    <t>btn-social-dribbble-bg</t>
  </si>
  <si>
    <t>Social Dribbble background</t>
  </si>
  <si>
    <t>#ea4c89</t>
  </si>
  <si>
    <t>dribbble</t>
  </si>
  <si>
    <t>Social-Dribbble</t>
  </si>
  <si>
    <t>btn-social-dribbble-icon-color</t>
  </si>
  <si>
    <t>Social Dribbble icon color</t>
  </si>
  <si>
    <t>btn-social-dribbble-hover-bg</t>
  </si>
  <si>
    <t>Social Dribbble hover background</t>
  </si>
  <si>
    <t>#d53b74</t>
  </si>
  <si>
    <t>btn-social-snapchat-bg</t>
  </si>
  <si>
    <t>Social Snapchat background</t>
  </si>
  <si>
    <t>#fffc00</t>
  </si>
  <si>
    <t>snapchat</t>
  </si>
  <si>
    <t>Social-Snapchat</t>
  </si>
  <si>
    <t>btn-social-snapchat-icon-color</t>
  </si>
  <si>
    <t>Social Snapchat icon color</t>
  </si>
  <si>
    <t>#000000</t>
  </si>
  <si>
    <t>btn-social-snapchat-hover-bg</t>
  </si>
  <si>
    <t>Social Snapchat hover background</t>
  </si>
  <si>
    <t>#e6e200</t>
  </si>
  <si>
    <t>btn-radius-primary-bg</t>
  </si>
  <si>
    <t>Background colour for Radius Primary button</t>
  </si>
  <si>
    <t>Radius-Primary</t>
  </si>
  <si>
    <t>btn-radius-primary-text</t>
  </si>
  <si>
    <t>Text colour for Radius Primary button</t>
  </si>
  <si>
    <t>btn-radius-primary-border</t>
  </si>
  <si>
    <t>Border colour for Radius Primary button</t>
  </si>
  <si>
    <t>btn-radius-primary-hover-bg</t>
  </si>
  <si>
    <t>Hover background colour for Radius Primary button</t>
  </si>
  <si>
    <t>btn-radius-primary-hover-text</t>
  </si>
  <si>
    <t>Hover text colour for Radius Primary button</t>
  </si>
  <si>
    <t>btn-radius-primary-hover-border</t>
  </si>
  <si>
    <t>Hover border colour for Radius Primary button</t>
  </si>
  <si>
    <t>btn-radius-primary-disabled-bg</t>
  </si>
  <si>
    <t>Disabled background colour for Radius Primary button</t>
  </si>
  <si>
    <t>btn-radius-primary-disabled-text</t>
  </si>
  <si>
    <t>Disabled text colour for Radius Primary button</t>
  </si>
  <si>
    <t>btn-radius-primary-disabled-border</t>
  </si>
  <si>
    <t>Disabled border colour for Radius Primary button</t>
  </si>
  <si>
    <t>btn-radius-primary-icon-color</t>
  </si>
  <si>
    <t>Icon colour for Radius Primary button</t>
  </si>
  <si>
    <t>btn-radius-primary-padding-x</t>
  </si>
  <si>
    <t>Horizontal padding for Radius Primary button</t>
  </si>
  <si>
    <t>1rem</t>
  </si>
  <si>
    <t>size</t>
  </si>
  <si>
    <t>btn-radius-primary-padding-y</t>
  </si>
  <si>
    <t>Vertical padding for Radius Primary button</t>
  </si>
  <si>
    <t>0.5rem</t>
  </si>
  <si>
    <t>btn-radius-primary-gap</t>
  </si>
  <si>
    <t>Gap between icon and text for Radius Primary button</t>
  </si>
  <si>
    <t>btn-radius-primary-icon-size</t>
  </si>
  <si>
    <t>Icon size for Radius Primary button</t>
  </si>
  <si>
    <t>btn-radius-primary-line-height</t>
  </si>
  <si>
    <t>Line height for Radius Primary button</t>
  </si>
  <si>
    <t>btn-radius-primary-radius</t>
  </si>
  <si>
    <t>Border radius for Radius Primary button</t>
  </si>
  <si>
    <t>50px</t>
  </si>
  <si>
    <t>btn-radius-primary-shadow</t>
  </si>
  <si>
    <t>Shadow for Radius Primary button</t>
  </si>
  <si>
    <t>btn-radius-primary-focus-ring</t>
  </si>
  <si>
    <t>Focus ring for Radius Primary button</t>
  </si>
  <si>
    <t>0 0 0 0.25rem rgba(13,110,253,0.25)</t>
  </si>
  <si>
    <t>btn-radius-primary-transition</t>
  </si>
  <si>
    <t>Transition for Radius Primary button</t>
  </si>
  <si>
    <t>btn-radius-secondary-bg</t>
  </si>
  <si>
    <t>Background colour for Radius Secondary button</t>
  </si>
  <si>
    <t>Radius-Secondary</t>
  </si>
  <si>
    <t>btn-radius-secondary-text</t>
  </si>
  <si>
    <t>Text colour for Radius Secondary button</t>
  </si>
  <si>
    <t>btn-radius-secondary-border</t>
  </si>
  <si>
    <t>Border colour for Radius Secondary button</t>
  </si>
  <si>
    <t>#565e64</t>
  </si>
  <si>
    <t>btn-radius-secondary-hover-bg</t>
  </si>
  <si>
    <t>Hover background colour for Radius Secondary button</t>
  </si>
  <si>
    <t>#5c636a</t>
  </si>
  <si>
    <t>btn-radius-secondary-hover-text</t>
  </si>
  <si>
    <t>Hover text colour for Radius Secondary button</t>
  </si>
  <si>
    <t>btn-radius-secondary-hover-border</t>
  </si>
  <si>
    <t>Hover border colour for Radius Secondary button</t>
  </si>
  <si>
    <t>#51585e</t>
  </si>
  <si>
    <t>btn-radius-secondary-disabled-bg</t>
  </si>
  <si>
    <t>Disabled background colour for Radius Secondary button</t>
  </si>
  <si>
    <t>btn-radius-secondary-disabled-text</t>
  </si>
  <si>
    <t>Disabled text colour for Radius Secondary button</t>
  </si>
  <si>
    <t>btn-radius-secondary-disabled-border</t>
  </si>
  <si>
    <t>Disabled border colour for Radius Secondary button</t>
  </si>
  <si>
    <t>btn-radius-secondary-icon-color</t>
  </si>
  <si>
    <t>Icon colour for Radius Secondary button</t>
  </si>
  <si>
    <t>btn-radius-secondary-padding-x</t>
  </si>
  <si>
    <t>Horizontal padding for Radius Secondary button</t>
  </si>
  <si>
    <t>btn-radius-secondary-padding-y</t>
  </si>
  <si>
    <t>Vertical padding for Radius Secondary button</t>
  </si>
  <si>
    <t>btn-radius-secondary-gap</t>
  </si>
  <si>
    <t>Gap between icon and text for Radius Secondary button</t>
  </si>
  <si>
    <t>btn-radius-secondary-icon-size</t>
  </si>
  <si>
    <t>Icon size for Radius Secondary button</t>
  </si>
  <si>
    <t>btn-radius-secondary-line-height</t>
  </si>
  <si>
    <t>Line height for Radius Secondary button</t>
  </si>
  <si>
    <t>btn-radius-secondary-radius</t>
  </si>
  <si>
    <t>Border radius for Radius Secondary button</t>
  </si>
  <si>
    <t>btn-radius-secondary-shadow</t>
  </si>
  <si>
    <t>Shadow for Radius Secondary button</t>
  </si>
  <si>
    <t>btn-radius-secondary-focus-ring</t>
  </si>
  <si>
    <t>Focus ring for Radius Secondary button</t>
  </si>
  <si>
    <t>0 0 0 0.25rem rgba(108,117,125,0.25)</t>
  </si>
  <si>
    <t>btn-radius-secondary-transition</t>
  </si>
  <si>
    <t>Transition for Radius Secondary button</t>
  </si>
  <si>
    <t>btn-radius-success-bg</t>
  </si>
  <si>
    <t>Background colour for Radius Success button</t>
  </si>
  <si>
    <t>Radius-Success</t>
  </si>
  <si>
    <t>btn-radius-success-text</t>
  </si>
  <si>
    <t>Text colour for Radius Success button</t>
  </si>
  <si>
    <t>btn-radius-success-border</t>
  </si>
  <si>
    <t>Border colour for Radius Success button</t>
  </si>
  <si>
    <t>btn-radius-success-hover-bg</t>
  </si>
  <si>
    <t>Hover background colour for Radius Success button</t>
  </si>
  <si>
    <t>btn-radius-success-hover-text</t>
  </si>
  <si>
    <t>Hover text colour for Radius Success button</t>
  </si>
  <si>
    <t>btn-radius-success-hover-border</t>
  </si>
  <si>
    <t>Hover border colour for Radius Success button</t>
  </si>
  <si>
    <t>#13653f</t>
  </si>
  <si>
    <t>btn-radius-success-disabled-bg</t>
  </si>
  <si>
    <t>Disabled background colour for Radius Success button</t>
  </si>
  <si>
    <t>btn-radius-success-disabled-text</t>
  </si>
  <si>
    <t>Disabled text colour for Radius Success button</t>
  </si>
  <si>
    <t>btn-radius-success-disabled-border</t>
  </si>
  <si>
    <t>Disabled border colour for Radius Success button</t>
  </si>
  <si>
    <t>btn-radius-success-icon-color</t>
  </si>
  <si>
    <t>Icon colour for Radius Success button</t>
  </si>
  <si>
    <t>btn-radius-success-padding-x</t>
  </si>
  <si>
    <t>Horizontal padding for Radius Success button</t>
  </si>
  <si>
    <t>btn-radius-success-padding-y</t>
  </si>
  <si>
    <t>Vertical padding for Radius Success button</t>
  </si>
  <si>
    <t>btn-radius-success-gap</t>
  </si>
  <si>
    <t>Gap between icon and text for Radius Success button</t>
  </si>
  <si>
    <t>btn-radius-success-icon-size</t>
  </si>
  <si>
    <t>Icon size for Radius Success button</t>
  </si>
  <si>
    <t>btn-radius-success-line-height</t>
  </si>
  <si>
    <t>Line height for Radius Success button</t>
  </si>
  <si>
    <t>btn-radius-success-radius</t>
  </si>
  <si>
    <t>Border radius for Radius Success button</t>
  </si>
  <si>
    <t>btn-radius-success-shadow</t>
  </si>
  <si>
    <t>Shadow for Radius Success button</t>
  </si>
  <si>
    <t>btn-radius-success-focus-ring</t>
  </si>
  <si>
    <t>Focus ring for Radius Success button</t>
  </si>
  <si>
    <t>0 0 0 0.25rem rgba(25,135,84,0.25)</t>
  </si>
  <si>
    <t>btn-radius-success-transition</t>
  </si>
  <si>
    <t>Transition for Radius Success button</t>
  </si>
  <si>
    <t>btn-radius-danger-bg</t>
  </si>
  <si>
    <t>Background colour for Radius Danger button</t>
  </si>
  <si>
    <t>Radius-Danger</t>
  </si>
  <si>
    <t>btn-radius-danger-text</t>
  </si>
  <si>
    <t>Text colour for Radius Danger button</t>
  </si>
  <si>
    <t>btn-radius-danger-border</t>
  </si>
  <si>
    <t>Border colour for Radius Danger button</t>
  </si>
  <si>
    <t>#b02a37</t>
  </si>
  <si>
    <t>btn-radius-danger-hover-bg</t>
  </si>
  <si>
    <t>Hover background colour for Radius Danger button</t>
  </si>
  <si>
    <t>btn-radius-danger-hover-text</t>
  </si>
  <si>
    <t>Hover text colour for Radius Danger button</t>
  </si>
  <si>
    <t>btn-radius-danger-hover-border</t>
  </si>
  <si>
    <t>Hover border colour for Radius Danger button</t>
  </si>
  <si>
    <t>btn-radius-danger-disabled-bg</t>
  </si>
  <si>
    <t>Disabled background colour for Radius Danger button</t>
  </si>
  <si>
    <t>btn-radius-danger-disabled-text</t>
  </si>
  <si>
    <t>Disabled text colour for Radius Danger button</t>
  </si>
  <si>
    <t>btn-radius-danger-disabled-border</t>
  </si>
  <si>
    <t>Disabled border colour for Radius Danger button</t>
  </si>
  <si>
    <t>#f5c2c7</t>
  </si>
  <si>
    <t>btn-radius-danger-icon-color</t>
  </si>
  <si>
    <t>Icon colour for Radius Danger button</t>
  </si>
  <si>
    <t>btn-radius-danger-padding-x</t>
  </si>
  <si>
    <t>Horizontal padding for Radius Danger button</t>
  </si>
  <si>
    <t>btn-radius-danger-padding-y</t>
  </si>
  <si>
    <t>Vertical padding for Radius Danger button</t>
  </si>
  <si>
    <t>btn-radius-danger-gap</t>
  </si>
  <si>
    <t>Gap between icon and text for Radius Danger button</t>
  </si>
  <si>
    <t>btn-radius-danger-icon-size</t>
  </si>
  <si>
    <t>Icon size for Radius Danger button</t>
  </si>
  <si>
    <t>btn-radius-danger-line-height</t>
  </si>
  <si>
    <t>Line height for Radius Danger button</t>
  </si>
  <si>
    <t>btn-radius-danger-radius</t>
  </si>
  <si>
    <t>Border radius for Radius Danger button</t>
  </si>
  <si>
    <t>btn-radius-danger-shadow</t>
  </si>
  <si>
    <t>Shadow for Radius Danger button</t>
  </si>
  <si>
    <t>btn-radius-danger-focus-ring</t>
  </si>
  <si>
    <t>Focus ring for Radius Danger button</t>
  </si>
  <si>
    <t>0 0 0 0.25rem rgba(220,53,69,0.25)</t>
  </si>
  <si>
    <t>btn-radius-danger-transition</t>
  </si>
  <si>
    <t>Transition for Radius Danger button</t>
  </si>
  <si>
    <t>btn-radius-warning-bg</t>
  </si>
  <si>
    <t>Background colour for Radius Warning button</t>
  </si>
  <si>
    <t>Radius-Warning</t>
  </si>
  <si>
    <t>btn-radius-warning-text</t>
  </si>
  <si>
    <t>Text colour for Radius Warning button</t>
  </si>
  <si>
    <t>btn-radius-warning-border</t>
  </si>
  <si>
    <t>Border colour for Radius Warning button</t>
  </si>
  <si>
    <t>btn-radius-warning-hover-bg</t>
  </si>
  <si>
    <t>Hover background colour for Radius Warning button</t>
  </si>
  <si>
    <t>#ffcd39</t>
  </si>
  <si>
    <t>btn-radius-warning-hover-text</t>
  </si>
  <si>
    <t>Hover text colour for Radius Warning button</t>
  </si>
  <si>
    <t>btn-radius-warning-hover-border</t>
  </si>
  <si>
    <t>Hover border colour for Radius Warning button</t>
  </si>
  <si>
    <t>#ffc720</t>
  </si>
  <si>
    <t>btn-radius-warning-disabled-bg</t>
  </si>
  <si>
    <t>Disabled background colour for Radius Warning button</t>
  </si>
  <si>
    <t>btn-radius-warning-disabled-text</t>
  </si>
  <si>
    <t>Disabled text colour for Radius Warning button</t>
  </si>
  <si>
    <t>btn-radius-warning-disabled-border</t>
  </si>
  <si>
    <t>Disabled border colour for Radius Warning button</t>
  </si>
  <si>
    <t>btn-radius-warning-icon-color</t>
  </si>
  <si>
    <t>Icon colour for Radius Warning button</t>
  </si>
  <si>
    <t>btn-radius-warning-padding-x</t>
  </si>
  <si>
    <t>Horizontal padding for Radius Warning button</t>
  </si>
  <si>
    <t>btn-radius-warning-padding-y</t>
  </si>
  <si>
    <t>Vertical padding for Radius Warning button</t>
  </si>
  <si>
    <t>btn-radius-warning-gap</t>
  </si>
  <si>
    <t>Gap between icon and text for Radius Warning button</t>
  </si>
  <si>
    <t>btn-radius-warning-icon-size</t>
  </si>
  <si>
    <t>Icon size for Radius Warning button</t>
  </si>
  <si>
    <t>btn-radius-warning-line-height</t>
  </si>
  <si>
    <t>Line height for Radius Warning button</t>
  </si>
  <si>
    <t>btn-radius-warning-radius</t>
  </si>
  <si>
    <t>Border radius for Radius Warning button</t>
  </si>
  <si>
    <t>btn-radius-warning-shadow</t>
  </si>
  <si>
    <t>Shadow for Radius Warning button</t>
  </si>
  <si>
    <t>btn-radius-warning-focus-ring</t>
  </si>
  <si>
    <t>Focus ring for Radius Warning button</t>
  </si>
  <si>
    <t>0 0 0 0.25rem rgba(255,193,7,0.25)</t>
  </si>
  <si>
    <t>btn-radius-warning-transition</t>
  </si>
  <si>
    <t>Transition for Radius Warning button</t>
  </si>
  <si>
    <t>btn-radius-info-bg</t>
  </si>
  <si>
    <t>Background colour for Radius Info button</t>
  </si>
  <si>
    <t>Radius-Info</t>
  </si>
  <si>
    <t>btn-radius-info-text</t>
  </si>
  <si>
    <t>Text colour for Radius Info button</t>
  </si>
  <si>
    <t>btn-radius-info-border</t>
  </si>
  <si>
    <t>Border colour for Radius Info button</t>
  </si>
  <si>
    <t>btn-radius-info-hover-bg</t>
  </si>
  <si>
    <t>Hover background colour for Radius Info button</t>
  </si>
  <si>
    <t>btn-radius-info-hover-text</t>
  </si>
  <si>
    <t>Hover text colour for Radius Info button</t>
  </si>
  <si>
    <t>btn-radius-info-hover-border</t>
  </si>
  <si>
    <t>Hover border colour for Radius Info button</t>
  </si>
  <si>
    <t>#25cff2</t>
  </si>
  <si>
    <t>btn-radius-info-disabled-bg</t>
  </si>
  <si>
    <t>Disabled background colour for Radius Info button</t>
  </si>
  <si>
    <t>btn-radius-info-disabled-text</t>
  </si>
  <si>
    <t>Disabled text colour for Radius Info button</t>
  </si>
  <si>
    <t>btn-radius-info-disabled-border</t>
  </si>
  <si>
    <t>Disabled border colour for Radius Info button</t>
  </si>
  <si>
    <t>btn-radius-info-icon-color</t>
  </si>
  <si>
    <t>Icon colour for Radius Info button</t>
  </si>
  <si>
    <t>btn-radius-info-padding-x</t>
  </si>
  <si>
    <t>Horizontal padding for Radius Info button</t>
  </si>
  <si>
    <t>btn-radius-info-padding-y</t>
  </si>
  <si>
    <t>Vertical padding for Radius Info button</t>
  </si>
  <si>
    <t>btn-radius-info-gap</t>
  </si>
  <si>
    <t>Gap between icon and text for Radius Info button</t>
  </si>
  <si>
    <t>btn-radius-info-icon-size</t>
  </si>
  <si>
    <t>Icon size for Radius Info button</t>
  </si>
  <si>
    <t>btn-radius-info-line-height</t>
  </si>
  <si>
    <t>Line height for Radius Info button</t>
  </si>
  <si>
    <t>btn-radius-info-radius</t>
  </si>
  <si>
    <t>Border radius for Radius Info button</t>
  </si>
  <si>
    <t>btn-radius-info-shadow</t>
  </si>
  <si>
    <t>Shadow for Radius Info button</t>
  </si>
  <si>
    <t>btn-radius-info-focus-ring</t>
  </si>
  <si>
    <t>Focus ring for Radius Info button</t>
  </si>
  <si>
    <t>0 0 0 0.25rem rgba(13,202,240,0.25)</t>
  </si>
  <si>
    <t>btn-radius-info-transition</t>
  </si>
  <si>
    <t>Transition for Radius Info button</t>
  </si>
  <si>
    <t>btn-radius-light-bg</t>
  </si>
  <si>
    <t>Background colour for Radius Light button</t>
  </si>
  <si>
    <t>Radius-Light</t>
  </si>
  <si>
    <t>btn-radius-light-text</t>
  </si>
  <si>
    <t>Text colour for Radius Light button</t>
  </si>
  <si>
    <t>btn-radius-light-border</t>
  </si>
  <si>
    <t>Border colour for Radius Light button</t>
  </si>
  <si>
    <t>#f9fafb</t>
  </si>
  <si>
    <t>btn-radius-light-hover-bg</t>
  </si>
  <si>
    <t>Hover background colour for Radius Light button</t>
  </si>
  <si>
    <t>btn-radius-light-hover-text</t>
  </si>
  <si>
    <t>Hover text colour for Radius Light button</t>
  </si>
  <si>
    <t>btn-radius-light-hover-border</t>
  </si>
  <si>
    <t>Hover border colour for Radius Light button</t>
  </si>
  <si>
    <t>btn-radius-light-disabled-bg</t>
  </si>
  <si>
    <t>Disabled background colour for Radius Light button</t>
  </si>
  <si>
    <t>btn-radius-light-disabled-text</t>
  </si>
  <si>
    <t>Disabled text colour for Radius Light button</t>
  </si>
  <si>
    <t>btn-radius-light-disabled-border</t>
  </si>
  <si>
    <t>Disabled border colour for Radius Light button</t>
  </si>
  <si>
    <t>btn-radius-light-icon-color</t>
  </si>
  <si>
    <t>Icon colour for Radius Light button</t>
  </si>
  <si>
    <t>btn-radius-light-padding-x</t>
  </si>
  <si>
    <t>Horizontal padding for Radius Light button</t>
  </si>
  <si>
    <t>btn-radius-light-padding-y</t>
  </si>
  <si>
    <t>Vertical padding for Radius Light button</t>
  </si>
  <si>
    <t>btn-radius-light-gap</t>
  </si>
  <si>
    <t>Gap between icon and text for Radius Light button</t>
  </si>
  <si>
    <t>btn-radius-light-icon-size</t>
  </si>
  <si>
    <t>Icon size for Radius Light button</t>
  </si>
  <si>
    <t>btn-radius-light-line-height</t>
  </si>
  <si>
    <t>Line height for Radius Light button</t>
  </si>
  <si>
    <t>btn-radius-light-radius</t>
  </si>
  <si>
    <t>Border radius for Radius Light button</t>
  </si>
  <si>
    <t>btn-radius-light-shadow</t>
  </si>
  <si>
    <t>Shadow for Radius Light button</t>
  </si>
  <si>
    <t>btn-radius-light-focus-ring</t>
  </si>
  <si>
    <t>Focus ring for Radius Light button</t>
  </si>
  <si>
    <t>0 0 0 0.25rem rgba(248,249,250,0.25)</t>
  </si>
  <si>
    <t>btn-radius-light-transition</t>
  </si>
  <si>
    <t>Transition for Radius Light button</t>
  </si>
  <si>
    <t>btn-radius-dark-bg</t>
  </si>
  <si>
    <t>Background colour for Radius Dark button</t>
  </si>
  <si>
    <t>Radius-Dark</t>
  </si>
  <si>
    <t>btn-radius-dark-text</t>
  </si>
  <si>
    <t>Text colour for Radius Dark button</t>
  </si>
  <si>
    <t>btn-radius-dark-border</t>
  </si>
  <si>
    <t>Border colour for Radius Dark button</t>
  </si>
  <si>
    <t>btn-radius-dark-hover-bg</t>
  </si>
  <si>
    <t>Hover background colour for Radius Dark button</t>
  </si>
  <si>
    <t>btn-radius-dark-hover-text</t>
  </si>
  <si>
    <t>Hover text colour for Radius Dark button</t>
  </si>
  <si>
    <t>btn-radius-dark-hover-border</t>
  </si>
  <si>
    <t>Hover border colour for Radius Dark button</t>
  </si>
  <si>
    <t>#181b1f</t>
  </si>
  <si>
    <t>btn-radius-dark-disabled-bg</t>
  </si>
  <si>
    <t>Disabled background colour for Radius Dark button</t>
  </si>
  <si>
    <t>#d3d3d4</t>
  </si>
  <si>
    <t>btn-radius-dark-disabled-text</t>
  </si>
  <si>
    <t>Disabled text colour for Radius Dark button</t>
  </si>
  <si>
    <t>btn-radius-dark-disabled-border</t>
  </si>
  <si>
    <t>Disabled border colour for Radius Dark button</t>
  </si>
  <si>
    <t>#c6c7c8</t>
  </si>
  <si>
    <t>btn-radius-dark-icon-color</t>
  </si>
  <si>
    <t>Icon colour for Radius Dark button</t>
  </si>
  <si>
    <t>btn-radius-dark-padding-x</t>
  </si>
  <si>
    <t>Horizontal padding for Radius Dark button</t>
  </si>
  <si>
    <t>btn-radius-dark-padding-y</t>
  </si>
  <si>
    <t>Vertical padding for Radius Dark button</t>
  </si>
  <si>
    <t>btn-radius-dark-gap</t>
  </si>
  <si>
    <t>Gap between icon and text for Radius Dark button</t>
  </si>
  <si>
    <t>btn-radius-dark-icon-size</t>
  </si>
  <si>
    <t>Icon size for Radius Dark button</t>
  </si>
  <si>
    <t>btn-radius-dark-line-height</t>
  </si>
  <si>
    <t>Line height for Radius Dark button</t>
  </si>
  <si>
    <t>btn-radius-dark-radius</t>
  </si>
  <si>
    <t>Border radius for Radius Dark button</t>
  </si>
  <si>
    <t>btn-radius-dark-shadow</t>
  </si>
  <si>
    <t>Shadow for Radius Dark button</t>
  </si>
  <si>
    <t>btn-radius-dark-focus-ring</t>
  </si>
  <si>
    <t>Focus ring for Radius Dark button</t>
  </si>
  <si>
    <t>0 0 0 0.25rem rgba(33,37,41,0.25)</t>
  </si>
  <si>
    <t>btn-radius-dark-transition</t>
  </si>
  <si>
    <t>Transition for Radius Dark button</t>
  </si>
  <si>
    <t>btn-active-primary-bg</t>
  </si>
  <si>
    <t>Background colour for Active Primary button</t>
  </si>
  <si>
    <t>active</t>
  </si>
  <si>
    <t>Active-Primary</t>
  </si>
  <si>
    <t>btn-active-primary-text</t>
  </si>
  <si>
    <t>Text colour for Active Primary button</t>
  </si>
  <si>
    <t>btn-active-primary-border</t>
  </si>
  <si>
    <t>Border colour for Active Primary button</t>
  </si>
  <si>
    <t>btn-active-primary-hover-bg</t>
  </si>
  <si>
    <t>Hover background colour for Active Primary button</t>
  </si>
  <si>
    <t>btn-active-primary-hover-text</t>
  </si>
  <si>
    <t>Hover text colour for Active Primary button</t>
  </si>
  <si>
    <t>btn-active-primary-hover-border</t>
  </si>
  <si>
    <t>Hover border colour for Active Primary button</t>
  </si>
  <si>
    <t>btn-active-primary-disabled-bg</t>
  </si>
  <si>
    <t>Disabled background colour for Active Primary button</t>
  </si>
  <si>
    <t>btn-active-primary-disabled-text</t>
  </si>
  <si>
    <t>Disabled text colour for Active Primary button</t>
  </si>
  <si>
    <t>btn-active-primary-disabled-border</t>
  </si>
  <si>
    <t>Disabled border colour for Active Primary button</t>
  </si>
  <si>
    <t>btn-active-primary-shadow</t>
  </si>
  <si>
    <t>Shadow style for Active Primary button</t>
  </si>
  <si>
    <t>btn-active-primary-radius</t>
  </si>
  <si>
    <t>Border radius for Active Primary button</t>
  </si>
  <si>
    <t>btn-active-primary-padding-x</t>
  </si>
  <si>
    <t>Horizontal padding for Active Primary button</t>
  </si>
  <si>
    <t>btn-active-primary-padding-y</t>
  </si>
  <si>
    <t>Vertical padding for Active Primary button</t>
  </si>
  <si>
    <t>btn-active-primary-gap</t>
  </si>
  <si>
    <t>Gap between icon and text for Active Primary button</t>
  </si>
  <si>
    <t>btn-active-primary-focus-ring</t>
  </si>
  <si>
    <t>Focus ring style for Active Primary button</t>
  </si>
  <si>
    <t>btn-active-primary-outline</t>
  </si>
  <si>
    <t>Outline style for Active Primary button</t>
  </si>
  <si>
    <t>btn-active-primary-transition</t>
  </si>
  <si>
    <t>Transition style for Active Primary button</t>
  </si>
  <si>
    <t>btn-active-primary-icon-color</t>
  </si>
  <si>
    <t>Icon colour for Active Primary button</t>
  </si>
  <si>
    <t>btn-active-primary-icon-size</t>
  </si>
  <si>
    <t>Icon size for Active Primary button</t>
  </si>
  <si>
    <t>btn-active-primary-line-height</t>
  </si>
  <si>
    <t>Line height for Active Primary button text</t>
  </si>
  <si>
    <t>btn-active-secondary-bg</t>
  </si>
  <si>
    <t>Background colour for Active Secondary button</t>
  </si>
  <si>
    <t>Active-Secondary</t>
  </si>
  <si>
    <t>btn-active-secondary-text</t>
  </si>
  <si>
    <t>Text colour for Active Secondary button</t>
  </si>
  <si>
    <t>btn-active-secondary-border</t>
  </si>
  <si>
    <t>Border colour for Active Secondary button</t>
  </si>
  <si>
    <t>btn-active-secondary-hover-bg</t>
  </si>
  <si>
    <t>Hover background colour for Active Secondary button</t>
  </si>
  <si>
    <t>btn-active-secondary-hover-text</t>
  </si>
  <si>
    <t>Hover text colour for Active Secondary button</t>
  </si>
  <si>
    <t>btn-active-secondary-hover-border</t>
  </si>
  <si>
    <t>Hover border colour for Active Secondary button</t>
  </si>
  <si>
    <t>btn-active-secondary-disabled-bg</t>
  </si>
  <si>
    <t>Disabled background colour for Active Secondary button</t>
  </si>
  <si>
    <t>btn-active-secondary-disabled-text</t>
  </si>
  <si>
    <t>Disabled text colour for Active Secondary button</t>
  </si>
  <si>
    <t>btn-active-secondary-disabled-border</t>
  </si>
  <si>
    <t>Disabled border colour for Active Secondary button</t>
  </si>
  <si>
    <t>btn-active-secondary-shadow</t>
  </si>
  <si>
    <t>Shadow style for Active Secondary button</t>
  </si>
  <si>
    <t>btn-active-secondary-radius</t>
  </si>
  <si>
    <t>Border radius for Active Secondary button</t>
  </si>
  <si>
    <t>btn-active-secondary-padding-x</t>
  </si>
  <si>
    <t>Horizontal padding for Active Secondary button</t>
  </si>
  <si>
    <t>btn-active-secondary-padding-y</t>
  </si>
  <si>
    <t>Vertical padding for Active Secondary button</t>
  </si>
  <si>
    <t>btn-active-secondary-gap</t>
  </si>
  <si>
    <t>Gap between icon and text for Active Secondary button</t>
  </si>
  <si>
    <t>btn-active-secondary-focus-ring</t>
  </si>
  <si>
    <t>Focus ring style for Active Secondary button</t>
  </si>
  <si>
    <t>0 0 0 3px rgba(108,117,125,0.25)</t>
  </si>
  <si>
    <t>btn-active-secondary-outline</t>
  </si>
  <si>
    <t>Outline style for Active Secondary button</t>
  </si>
  <si>
    <t>btn-active-secondary-transition</t>
  </si>
  <si>
    <t>Transition style for Active Secondary button</t>
  </si>
  <si>
    <t>btn-active-secondary-icon-color</t>
  </si>
  <si>
    <t>Icon colour for Active Secondary button</t>
  </si>
  <si>
    <t>btn-active-secondary-icon-size</t>
  </si>
  <si>
    <t>Icon size for Active Secondary button</t>
  </si>
  <si>
    <t>btn-active-secondary-line-height</t>
  </si>
  <si>
    <t>Line height for Active Secondary button text</t>
  </si>
  <si>
    <t>btn-active-success-bg</t>
  </si>
  <si>
    <t>Background colour for Active Success button</t>
  </si>
  <si>
    <t>Active-Success</t>
  </si>
  <si>
    <t>btn-active-success-text</t>
  </si>
  <si>
    <t>Text colour for Active Success button</t>
  </si>
  <si>
    <t>btn-active-success-border</t>
  </si>
  <si>
    <t>Border colour for Active Success button</t>
  </si>
  <si>
    <t>btn-active-success-hover-bg</t>
  </si>
  <si>
    <t>Hover background colour for Active Success button</t>
  </si>
  <si>
    <t>btn-active-success-hover-text</t>
  </si>
  <si>
    <t>Hover text colour for Active Success button</t>
  </si>
  <si>
    <t>btn-active-success-hover-border</t>
  </si>
  <si>
    <t>Hover border colour for Active Success button</t>
  </si>
  <si>
    <t>btn-active-success-disabled-bg</t>
  </si>
  <si>
    <t>Disabled background colour for Active Success button</t>
  </si>
  <si>
    <t>btn-active-success-disabled-text</t>
  </si>
  <si>
    <t>Disabled text colour for Active Success button</t>
  </si>
  <si>
    <t>btn-active-success-disabled-border</t>
  </si>
  <si>
    <t>Disabled border colour for Active Success button</t>
  </si>
  <si>
    <t>#bcd0c7</t>
  </si>
  <si>
    <t>btn-active-success-shadow</t>
  </si>
  <si>
    <t>Shadow style for Active Success button</t>
  </si>
  <si>
    <t>btn-active-success-radius</t>
  </si>
  <si>
    <t>Border radius for Active Success button</t>
  </si>
  <si>
    <t>btn-active-success-padding-x</t>
  </si>
  <si>
    <t>Horizontal padding for Active Success button</t>
  </si>
  <si>
    <t>btn-active-success-padding-y</t>
  </si>
  <si>
    <t>Vertical padding for Active Success button</t>
  </si>
  <si>
    <t>btn-active-success-gap</t>
  </si>
  <si>
    <t>Gap between icon and text for Active Success button</t>
  </si>
  <si>
    <t>btn-active-success-focus-ring</t>
  </si>
  <si>
    <t>Focus ring style for Active Success button</t>
  </si>
  <si>
    <t>0 0 0 3px rgba(25,135,84,0.25)</t>
  </si>
  <si>
    <t>btn-active-success-outline</t>
  </si>
  <si>
    <t>Outline style for Active Success button</t>
  </si>
  <si>
    <t>btn-active-success-transition</t>
  </si>
  <si>
    <t>Transition style for Active Success button</t>
  </si>
  <si>
    <t>btn-active-success-icon-color</t>
  </si>
  <si>
    <t>Icon colour for Active Success button</t>
  </si>
  <si>
    <t>btn-active-success-icon-size</t>
  </si>
  <si>
    <t>Icon size for Active Success button</t>
  </si>
  <si>
    <t>btn-active-success-line-height</t>
  </si>
  <si>
    <t>Line height for Active Success button text</t>
  </si>
  <si>
    <t>btn-active-danger-bg</t>
  </si>
  <si>
    <t>Background colour for Active Danger button</t>
  </si>
  <si>
    <t>Active-Danger</t>
  </si>
  <si>
    <t>btn-active-danger-text</t>
  </si>
  <si>
    <t>Text colour for Active Danger button</t>
  </si>
  <si>
    <t>btn-active-danger-border</t>
  </si>
  <si>
    <t>Border colour for Active Danger button</t>
  </si>
  <si>
    <t>btn-active-danger-hover-bg</t>
  </si>
  <si>
    <t>Hover background colour for Active Danger button</t>
  </si>
  <si>
    <t>btn-active-danger-hover-text</t>
  </si>
  <si>
    <t>Hover text colour for Active Danger button</t>
  </si>
  <si>
    <t>btn-active-danger-hover-border</t>
  </si>
  <si>
    <t>Hover border colour for Active Danger button</t>
  </si>
  <si>
    <t>btn-active-danger-disabled-bg</t>
  </si>
  <si>
    <t>Disabled background colour for Active Danger button</t>
  </si>
  <si>
    <t>btn-active-danger-disabled-text</t>
  </si>
  <si>
    <t>Disabled text colour for Active Danger button</t>
  </si>
  <si>
    <t>btn-active-danger-disabled-border</t>
  </si>
  <si>
    <t>Disabled border colour for Active Danger button</t>
  </si>
  <si>
    <t>#e4b9bd</t>
  </si>
  <si>
    <t>btn-active-danger-shadow</t>
  </si>
  <si>
    <t>Shadow style for Active Danger button</t>
  </si>
  <si>
    <t>btn-active-danger-radius</t>
  </si>
  <si>
    <t>Border radius for Active Danger button</t>
  </si>
  <si>
    <t>btn-active-danger-padding-x</t>
  </si>
  <si>
    <t>Horizontal padding for Active Danger button</t>
  </si>
  <si>
    <t>btn-active-danger-padding-y</t>
  </si>
  <si>
    <t>Vertical padding for Active Danger button</t>
  </si>
  <si>
    <t>btn-active-danger-gap</t>
  </si>
  <si>
    <t>Gap between icon and text for Active Danger button</t>
  </si>
  <si>
    <t>btn-active-danger-focus-ring</t>
  </si>
  <si>
    <t>Focus ring style for Active Danger button</t>
  </si>
  <si>
    <t>0 0 0 3px rgba(220,53,69,0.25)</t>
  </si>
  <si>
    <t>btn-active-danger-outline</t>
  </si>
  <si>
    <t>Outline style for Active Danger button</t>
  </si>
  <si>
    <t>btn-active-danger-transition</t>
  </si>
  <si>
    <t>Transition style for Active Danger button</t>
  </si>
  <si>
    <t>btn-active-danger-icon-color</t>
  </si>
  <si>
    <t>Icon colour for Active Danger button</t>
  </si>
  <si>
    <t>btn-active-danger-icon-size</t>
  </si>
  <si>
    <t>Icon size for Active Danger button</t>
  </si>
  <si>
    <t>btn-active-danger-line-height</t>
  </si>
  <si>
    <t>Line height for Active Danger button text</t>
  </si>
  <si>
    <t>btn-active-warning-bg</t>
  </si>
  <si>
    <t>Background colour for Active Warning button</t>
  </si>
  <si>
    <t>Active-Warning</t>
  </si>
  <si>
    <t>btn-active-warning-text</t>
  </si>
  <si>
    <t>Text colour for Active Warning button</t>
  </si>
  <si>
    <t>btn-active-warning-border</t>
  </si>
  <si>
    <t>Border colour for Active Warning button</t>
  </si>
  <si>
    <t>btn-active-warning-hover-bg</t>
  </si>
  <si>
    <t>Hover background colour for Active Warning button</t>
  </si>
  <si>
    <t>btn-active-warning-hover-text</t>
  </si>
  <si>
    <t>Hover text colour for Active Warning button</t>
  </si>
  <si>
    <t>btn-active-warning-hover-border</t>
  </si>
  <si>
    <t>Hover border colour for Active Warning button</t>
  </si>
  <si>
    <t>btn-active-warning-disabled-bg</t>
  </si>
  <si>
    <t>Disabled background colour for Active Warning button</t>
  </si>
  <si>
    <t>btn-active-warning-disabled-text</t>
  </si>
  <si>
    <t>Disabled text colour for Active Warning button</t>
  </si>
  <si>
    <t>btn-active-warning-disabled-border</t>
  </si>
  <si>
    <t>Disabled border colour for Active Warning button</t>
  </si>
  <si>
    <t>#ffe69c</t>
  </si>
  <si>
    <t>btn-active-warning-shadow</t>
  </si>
  <si>
    <t>Shadow style for Active Warning button</t>
  </si>
  <si>
    <t>btn-active-warning-radius</t>
  </si>
  <si>
    <t>Border radius for Active Warning button</t>
  </si>
  <si>
    <t>btn-active-warning-padding-x</t>
  </si>
  <si>
    <t>Horizontal padding for Active Warning button</t>
  </si>
  <si>
    <t>btn-active-warning-padding-y</t>
  </si>
  <si>
    <t>Vertical padding for Active Warning button</t>
  </si>
  <si>
    <t>btn-active-warning-gap</t>
  </si>
  <si>
    <t>Gap between icon and text for Active Warning button</t>
  </si>
  <si>
    <t>btn-active-warning-focus-ring</t>
  </si>
  <si>
    <t>Focus ring style for Active Warning button</t>
  </si>
  <si>
    <t>0 0 0 3px rgba(255,193,7,0.25)</t>
  </si>
  <si>
    <t>btn-active-warning-outline</t>
  </si>
  <si>
    <t>Outline style for Active Warning button</t>
  </si>
  <si>
    <t>btn-active-warning-transition</t>
  </si>
  <si>
    <t>Transition style for Active Warning button</t>
  </si>
  <si>
    <t>btn-active-warning-icon-color</t>
  </si>
  <si>
    <t>Icon colour for Active Warning button</t>
  </si>
  <si>
    <t>btn-active-warning-icon-size</t>
  </si>
  <si>
    <t>Icon size for Active Warning button</t>
  </si>
  <si>
    <t>btn-active-warning-line-height</t>
  </si>
  <si>
    <t>Line height for Active Warning button text</t>
  </si>
  <si>
    <t>btn-active-info-bg</t>
  </si>
  <si>
    <t>Background colour for Active Info button</t>
  </si>
  <si>
    <t>Active-Info</t>
  </si>
  <si>
    <t>btn-active-info-text</t>
  </si>
  <si>
    <t>Text colour for Active Info button</t>
  </si>
  <si>
    <t>btn-active-info-border</t>
  </si>
  <si>
    <t>Border colour for Active Info button</t>
  </si>
  <si>
    <t>btn-active-info-hover-bg</t>
  </si>
  <si>
    <t>Hover background colour for Active Info button</t>
  </si>
  <si>
    <t>btn-active-info-hover-text</t>
  </si>
  <si>
    <t>Hover text colour for Active Info button</t>
  </si>
  <si>
    <t>btn-active-info-hover-border</t>
  </si>
  <si>
    <t>Hover border colour for Active Info button</t>
  </si>
  <si>
    <t>btn-active-info-disabled-bg</t>
  </si>
  <si>
    <t>Disabled background colour for Active Info button</t>
  </si>
  <si>
    <t>btn-active-info-disabled-text</t>
  </si>
  <si>
    <t>Disabled text colour for Active Info button</t>
  </si>
  <si>
    <t>btn-active-info-disabled-border</t>
  </si>
  <si>
    <t>Disabled border colour for Active Info button</t>
  </si>
  <si>
    <t>btn-active-info-shadow</t>
  </si>
  <si>
    <t>Shadow style for Active Info button</t>
  </si>
  <si>
    <t>btn-active-info-radius</t>
  </si>
  <si>
    <t>Border radius for Active Info button</t>
  </si>
  <si>
    <t>btn-active-info-padding-x</t>
  </si>
  <si>
    <t>Horizontal padding for Active Info button</t>
  </si>
  <si>
    <t>btn-active-info-padding-y</t>
  </si>
  <si>
    <t>Vertical padding for Active Info button</t>
  </si>
  <si>
    <t>btn-active-info-gap</t>
  </si>
  <si>
    <t>Gap between icon and text for Active Info button</t>
  </si>
  <si>
    <t>btn-active-info-focus-ring</t>
  </si>
  <si>
    <t>Focus ring style for Active Info button</t>
  </si>
  <si>
    <t>0 0 0 3px rgba(13,202,240,0.25)</t>
  </si>
  <si>
    <t>btn-active-info-outline</t>
  </si>
  <si>
    <t>Outline style for Active Info button</t>
  </si>
  <si>
    <t>btn-active-info-transition</t>
  </si>
  <si>
    <t>Transition style for Active Info button</t>
  </si>
  <si>
    <t>btn-active-info-icon-color</t>
  </si>
  <si>
    <t>Icon colour for Active Info button</t>
  </si>
  <si>
    <t>btn-active-info-icon-size</t>
  </si>
  <si>
    <t>Icon size for Active Info button</t>
  </si>
  <si>
    <t>btn-active-info-line-height</t>
  </si>
  <si>
    <t>Line height for Active Info button text</t>
  </si>
  <si>
    <t>btn-active-light-bg</t>
  </si>
  <si>
    <t>Background colour for Active Light button</t>
  </si>
  <si>
    <t>Active-Light</t>
  </si>
  <si>
    <t>btn-active-light-text</t>
  </si>
  <si>
    <t>Text colour for Active Light button</t>
  </si>
  <si>
    <t>btn-active-light-border</t>
  </si>
  <si>
    <t>Border colour for Active Light button</t>
  </si>
  <si>
    <t>btn-active-light-hover-bg</t>
  </si>
  <si>
    <t>Hover background colour for Active Light button</t>
  </si>
  <si>
    <t>btn-active-light-hover-text</t>
  </si>
  <si>
    <t>Hover text colour for Active Light button</t>
  </si>
  <si>
    <t>btn-active-light-hover-border</t>
  </si>
  <si>
    <t>Hover border colour for Active Light button</t>
  </si>
  <si>
    <t>btn-active-light-disabled-bg</t>
  </si>
  <si>
    <t>Disabled background colour for Active Light button</t>
  </si>
  <si>
    <t>#e9ecef</t>
  </si>
  <si>
    <t>btn-active-light-disabled-text</t>
  </si>
  <si>
    <t>Disabled text colour for Active Light button</t>
  </si>
  <si>
    <t>btn-active-light-disabled-border</t>
  </si>
  <si>
    <t>Disabled border colour for Active Light button</t>
  </si>
  <si>
    <t>btn-active-light-shadow</t>
  </si>
  <si>
    <t>Shadow style for Active Light button</t>
  </si>
  <si>
    <t>btn-active-light-radius</t>
  </si>
  <si>
    <t>Border radius for Active Light button</t>
  </si>
  <si>
    <t>btn-active-light-padding-x</t>
  </si>
  <si>
    <t>Horizontal padding for Active Light button</t>
  </si>
  <si>
    <t>btn-active-light-padding-y</t>
  </si>
  <si>
    <t>Vertical padding for Active Light button</t>
  </si>
  <si>
    <t>btn-active-light-gap</t>
  </si>
  <si>
    <t>Gap between icon and text for Active Light button</t>
  </si>
  <si>
    <t>btn-active-light-focus-ring</t>
  </si>
  <si>
    <t>Focus ring style for Active Light button</t>
  </si>
  <si>
    <t>0 0 0 3px rgba(248,249,250,0.25)</t>
  </si>
  <si>
    <t>btn-active-light-outline</t>
  </si>
  <si>
    <t>Outline style for Active Light button</t>
  </si>
  <si>
    <t>btn-active-light-transition</t>
  </si>
  <si>
    <t>Transition style for Active Light button</t>
  </si>
  <si>
    <t>btn-active-light-icon-color</t>
  </si>
  <si>
    <t>Icon colour for Active Light button</t>
  </si>
  <si>
    <t>btn-active-light-icon-size</t>
  </si>
  <si>
    <t>Icon size for Active Light button</t>
  </si>
  <si>
    <t>btn-active-light-line-height</t>
  </si>
  <si>
    <t>Line height for Active Light button text</t>
  </si>
  <si>
    <t>btn-active-dark-bg</t>
  </si>
  <si>
    <t>Background colour for Active Dark button</t>
  </si>
  <si>
    <t>Active-Dark</t>
  </si>
  <si>
    <t>btn-active-dark-text</t>
  </si>
  <si>
    <t>Text colour for Active Dark button</t>
  </si>
  <si>
    <t>btn-active-dark-border</t>
  </si>
  <si>
    <t>Border colour for Active Dark button</t>
  </si>
  <si>
    <t>btn-active-dark-hover-bg</t>
  </si>
  <si>
    <t>Hover background colour for Active Dark button</t>
  </si>
  <si>
    <t>btn-active-dark-hover-text</t>
  </si>
  <si>
    <t>Hover text colour for Active Dark button</t>
  </si>
  <si>
    <t>btn-active-dark-hover-border</t>
  </si>
  <si>
    <t>Hover border colour for Active Dark button</t>
  </si>
  <si>
    <t>btn-active-dark-disabled-bg</t>
  </si>
  <si>
    <t>Disabled background colour for Active Dark button</t>
  </si>
  <si>
    <t>#ced4da</t>
  </si>
  <si>
    <t>btn-active-dark-disabled-text</t>
  </si>
  <si>
    <t>Disabled text colour for Active Dark button</t>
  </si>
  <si>
    <t>btn-active-dark-disabled-border</t>
  </si>
  <si>
    <t>Disabled border colour for Active Dark button</t>
  </si>
  <si>
    <t>#bfc5ca</t>
  </si>
  <si>
    <t>btn-active-dark-shadow</t>
  </si>
  <si>
    <t>Shadow style for Active Dark button</t>
  </si>
  <si>
    <t>btn-active-dark-radius</t>
  </si>
  <si>
    <t>Border radius for Active Dark button</t>
  </si>
  <si>
    <t>btn-active-dark-padding-x</t>
  </si>
  <si>
    <t>Horizontal padding for Active Dark button</t>
  </si>
  <si>
    <t>btn-active-dark-padding-y</t>
  </si>
  <si>
    <t>Vertical padding for Active Dark button</t>
  </si>
  <si>
    <t>btn-active-dark-gap</t>
  </si>
  <si>
    <t>Gap between icon and text for Active Dark button</t>
  </si>
  <si>
    <t>btn-active-dark-focus-ring</t>
  </si>
  <si>
    <t>Focus ring style for Active Dark button</t>
  </si>
  <si>
    <t>0 0 0 3px rgba(33,37,41,0.25)</t>
  </si>
  <si>
    <t>btn-active-dark-outline</t>
  </si>
  <si>
    <t>Outline style for Active Dark button</t>
  </si>
  <si>
    <t>btn-active-dark-transition</t>
  </si>
  <si>
    <t>Transition style for Active Dark button</t>
  </si>
  <si>
    <t>btn-active-dark-icon-color</t>
  </si>
  <si>
    <t>Icon colour for Active Dark button</t>
  </si>
  <si>
    <t>btn-active-dark-icon-size</t>
  </si>
  <si>
    <t>Icon size for Active Dark button</t>
  </si>
  <si>
    <t>btn-active-dark-line-height</t>
  </si>
  <si>
    <t>Line height for Active Dark button text</t>
  </si>
  <si>
    <t>btn-disabled-primary-bg</t>
  </si>
  <si>
    <t>Background colour for Disabled Primary button</t>
  </si>
  <si>
    <t>Disabled-Primary</t>
  </si>
  <si>
    <t>btn-disabled-primary-text</t>
  </si>
  <si>
    <t>Text colour for Disabled Primary button</t>
  </si>
  <si>
    <t>btn-disabled-primary-border</t>
  </si>
  <si>
    <t>Border colour for Disabled Primary button</t>
  </si>
  <si>
    <t>btn-disabled-primary-hover-bg</t>
  </si>
  <si>
    <t>Hover background colour for Disabled Primary button</t>
  </si>
  <si>
    <t>btn-disabled-primary-hover-text</t>
  </si>
  <si>
    <t>Hover text colour for Disabled Primary button</t>
  </si>
  <si>
    <t>btn-disabled-primary-hover-border</t>
  </si>
  <si>
    <t>Hover border colour for Disabled Primary button</t>
  </si>
  <si>
    <t>btn-disabled-primary-disabled-bg</t>
  </si>
  <si>
    <t>Disabled background colour for Disabled Primary button</t>
  </si>
  <si>
    <t>btn-disabled-primary-disabled-text</t>
  </si>
  <si>
    <t>Disabled text colour for Disabled Primary button</t>
  </si>
  <si>
    <t>btn-disabled-primary-disabled-border</t>
  </si>
  <si>
    <t>Disabled border colour for Disabled Primary button</t>
  </si>
  <si>
    <t>btn-disabled-primary-shadow</t>
  </si>
  <si>
    <t>Shadow style for Disabled Primary button</t>
  </si>
  <si>
    <t>btn-disabled-primary-radius</t>
  </si>
  <si>
    <t>Border radius for Disabled Primary button</t>
  </si>
  <si>
    <t>btn-disabled-primary-padding-x</t>
  </si>
  <si>
    <t>Horizontal padding for Disabled Primary button</t>
  </si>
  <si>
    <t>btn-disabled-primary-padding-y</t>
  </si>
  <si>
    <t>Vertical padding for Disabled Primary button</t>
  </si>
  <si>
    <t>btn-disabled-primary-gap</t>
  </si>
  <si>
    <t>Gap between icon and text for Disabled Primary button</t>
  </si>
  <si>
    <t>btn-disabled-primary-focus-ring</t>
  </si>
  <si>
    <t>Focus ring style for Disabled Primary button</t>
  </si>
  <si>
    <t>0 0 0 3px rgba(207,226,255,0.25)</t>
  </si>
  <si>
    <t>btn-disabled-primary-outline</t>
  </si>
  <si>
    <t>Outline style for Disabled Primary button</t>
  </si>
  <si>
    <t>btn-disabled-primary-transition</t>
  </si>
  <si>
    <t>Transition style for Disabled Primary button</t>
  </si>
  <si>
    <t>btn-disabled-primary-icon-color</t>
  </si>
  <si>
    <t>Icon colour for Disabled Primary button</t>
  </si>
  <si>
    <t>btn-disabled-primary-icon-size</t>
  </si>
  <si>
    <t>Icon size for Disabled Primary button</t>
  </si>
  <si>
    <t>btn-disabled-primary-line-height</t>
  </si>
  <si>
    <t>Line height for Disabled Primary button text</t>
  </si>
  <si>
    <t>btn-disabled-secondary-bg</t>
  </si>
  <si>
    <t>Background colour for Disabled Secondary button</t>
  </si>
  <si>
    <t>Disabled-Secondary</t>
  </si>
  <si>
    <t>btn-disabled-secondary-text</t>
  </si>
  <si>
    <t>Text colour for Disabled Secondary button</t>
  </si>
  <si>
    <t>btn-disabled-secondary-border</t>
  </si>
  <si>
    <t>Border colour for Disabled Secondary button</t>
  </si>
  <si>
    <t>btn-disabled-secondary-hover-bg</t>
  </si>
  <si>
    <t>Hover background colour for Disabled Secondary button</t>
  </si>
  <si>
    <t>btn-disabled-secondary-hover-text</t>
  </si>
  <si>
    <t>Hover text colour for Disabled Secondary button</t>
  </si>
  <si>
    <t>btn-disabled-secondary-hover-border</t>
  </si>
  <si>
    <t>Hover border colour for Disabled Secondary button</t>
  </si>
  <si>
    <t>btn-disabled-secondary-disabled-bg</t>
  </si>
  <si>
    <t>Disabled background colour for Disabled Secondary button</t>
  </si>
  <si>
    <t>btn-disabled-secondary-disabled-text</t>
  </si>
  <si>
    <t>Disabled text colour for Disabled Secondary button</t>
  </si>
  <si>
    <t>btn-disabled-secondary-disabled-border</t>
  </si>
  <si>
    <t>Disabled border colour for Disabled Secondary button</t>
  </si>
  <si>
    <t>btn-disabled-secondary-shadow</t>
  </si>
  <si>
    <t>Shadow style for Disabled Secondary button</t>
  </si>
  <si>
    <t>btn-disabled-secondary-radius</t>
  </si>
  <si>
    <t>Border radius for Disabled Secondary button</t>
  </si>
  <si>
    <t>btn-disabled-secondary-padding-x</t>
  </si>
  <si>
    <t>Horizontal padding for Disabled Secondary button</t>
  </si>
  <si>
    <t>btn-disabled-secondary-padding-y</t>
  </si>
  <si>
    <t>Vertical padding for Disabled Secondary button</t>
  </si>
  <si>
    <t>btn-disabled-secondary-gap</t>
  </si>
  <si>
    <t>Gap between icon and text for Disabled Secondary button</t>
  </si>
  <si>
    <t>btn-disabled-secondary-focus-ring</t>
  </si>
  <si>
    <t>Focus ring style for Disabled Secondary button</t>
  </si>
  <si>
    <t>0 0 0 3px rgba(226,227,229,0.25)</t>
  </si>
  <si>
    <t>btn-disabled-secondary-outline</t>
  </si>
  <si>
    <t>Outline style for Disabled Secondary button</t>
  </si>
  <si>
    <t>btn-disabled-secondary-transition</t>
  </si>
  <si>
    <t>Transition style for Disabled Secondary button</t>
  </si>
  <si>
    <t>btn-disabled-secondary-icon-color</t>
  </si>
  <si>
    <t>Icon colour for Disabled Secondary button</t>
  </si>
  <si>
    <t>btn-disabled-secondary-icon-size</t>
  </si>
  <si>
    <t>Icon size for Disabled Secondary button</t>
  </si>
  <si>
    <t>btn-disabled-secondary-line-height</t>
  </si>
  <si>
    <t>Line height for Disabled Secondary button text</t>
  </si>
  <si>
    <t>btn-disabled-success-bg</t>
  </si>
  <si>
    <t>Background colour for Disabled Success button</t>
  </si>
  <si>
    <t>Disabled-Success</t>
  </si>
  <si>
    <t>btn-disabled-success-text</t>
  </si>
  <si>
    <t>Text colour for Disabled Success button</t>
  </si>
  <si>
    <t>btn-disabled-success-border</t>
  </si>
  <si>
    <t>Border colour for Disabled Success button</t>
  </si>
  <si>
    <t>btn-disabled-success-hover-bg</t>
  </si>
  <si>
    <t>Hover background colour for Disabled Success button</t>
  </si>
  <si>
    <t>btn-disabled-success-hover-text</t>
  </si>
  <si>
    <t>Hover text colour for Disabled Success button</t>
  </si>
  <si>
    <t>btn-disabled-success-hover-border</t>
  </si>
  <si>
    <t>Hover border colour for Disabled Success button</t>
  </si>
  <si>
    <t>btn-disabled-success-disabled-bg</t>
  </si>
  <si>
    <t>Disabled background colour for Disabled Success button</t>
  </si>
  <si>
    <t>btn-disabled-success-disabled-text</t>
  </si>
  <si>
    <t>Disabled text colour for Disabled Success button</t>
  </si>
  <si>
    <t>btn-disabled-success-disabled-border</t>
  </si>
  <si>
    <t>Disabled border colour for Disabled Success button</t>
  </si>
  <si>
    <t>btn-disabled-success-shadow</t>
  </si>
  <si>
    <t>Shadow style for Disabled Success button</t>
  </si>
  <si>
    <t>btn-disabled-success-radius</t>
  </si>
  <si>
    <t>Border radius for Disabled Success button</t>
  </si>
  <si>
    <t>btn-disabled-success-padding-x</t>
  </si>
  <si>
    <t>Horizontal padding for Disabled Success button</t>
  </si>
  <si>
    <t>btn-disabled-success-padding-y</t>
  </si>
  <si>
    <t>Vertical padding for Disabled Success button</t>
  </si>
  <si>
    <t>btn-disabled-success-gap</t>
  </si>
  <si>
    <t>Gap between icon and text for Disabled Success button</t>
  </si>
  <si>
    <t>btn-disabled-success-focus-ring</t>
  </si>
  <si>
    <t>Focus ring style for Disabled Success button</t>
  </si>
  <si>
    <t>0 0 0 3px rgba(209,231,221,0.25)</t>
  </si>
  <si>
    <t>btn-disabled-success-outline</t>
  </si>
  <si>
    <t>Outline style for Disabled Success button</t>
  </si>
  <si>
    <t>btn-disabled-success-transition</t>
  </si>
  <si>
    <t>Transition style for Disabled Success button</t>
  </si>
  <si>
    <t>btn-disabled-success-icon-color</t>
  </si>
  <si>
    <t>Icon colour for Disabled Success button</t>
  </si>
  <si>
    <t>btn-disabled-success-icon-size</t>
  </si>
  <si>
    <t>Icon size for Disabled Success button</t>
  </si>
  <si>
    <t>btn-disabled-success-line-height</t>
  </si>
  <si>
    <t>Line height for Disabled Success button text</t>
  </si>
  <si>
    <t>btn-disabled-danger-bg</t>
  </si>
  <si>
    <t>Background colour for Disabled Danger button</t>
  </si>
  <si>
    <t>Disabled-Danger</t>
  </si>
  <si>
    <t>btn-disabled-danger-text</t>
  </si>
  <si>
    <t>Text colour for Disabled Danger button</t>
  </si>
  <si>
    <t>btn-disabled-danger-border</t>
  </si>
  <si>
    <t>Border colour for Disabled Danger button</t>
  </si>
  <si>
    <t>btn-disabled-danger-hover-bg</t>
  </si>
  <si>
    <t>Hover background colour for Disabled Danger button</t>
  </si>
  <si>
    <t>btn-disabled-danger-hover-text</t>
  </si>
  <si>
    <t>Hover text colour for Disabled Danger button</t>
  </si>
  <si>
    <t>btn-disabled-danger-hover-border</t>
  </si>
  <si>
    <t>Hover border colour for Disabled Danger button</t>
  </si>
  <si>
    <t>btn-disabled-danger-disabled-bg</t>
  </si>
  <si>
    <t>Disabled background colour for Disabled Danger button</t>
  </si>
  <si>
    <t>btn-disabled-danger-disabled-text</t>
  </si>
  <si>
    <t>Disabled text colour for Disabled Danger button</t>
  </si>
  <si>
    <t>btn-disabled-danger-disabled-border</t>
  </si>
  <si>
    <t>Disabled border colour for Disabled Danger button</t>
  </si>
  <si>
    <t>btn-disabled-danger-shadow</t>
  </si>
  <si>
    <t>Shadow style for Disabled Danger button</t>
  </si>
  <si>
    <t>btn-disabled-danger-radius</t>
  </si>
  <si>
    <t>Border radius for Disabled Danger button</t>
  </si>
  <si>
    <t>btn-disabled-danger-padding-x</t>
  </si>
  <si>
    <t>Horizontal padding for Disabled Danger button</t>
  </si>
  <si>
    <t>btn-disabled-danger-padding-y</t>
  </si>
  <si>
    <t>Vertical padding for Disabled Danger button</t>
  </si>
  <si>
    <t>btn-disabled-danger-gap</t>
  </si>
  <si>
    <t>Gap between icon and text for Disabled Danger button</t>
  </si>
  <si>
    <t>btn-disabled-danger-focus-ring</t>
  </si>
  <si>
    <t>Focus ring style for Disabled Danger button</t>
  </si>
  <si>
    <t>0 0 0 3px rgba(248,215,218,0.25)</t>
  </si>
  <si>
    <t>btn-disabled-danger-outline</t>
  </si>
  <si>
    <t>Outline style for Disabled Danger button</t>
  </si>
  <si>
    <t>btn-disabled-danger-transition</t>
  </si>
  <si>
    <t>Transition style for Disabled Danger button</t>
  </si>
  <si>
    <t>btn-disabled-danger-icon-color</t>
  </si>
  <si>
    <t>Icon colour for Disabled Danger button</t>
  </si>
  <si>
    <t>btn-disabled-danger-icon-size</t>
  </si>
  <si>
    <t>Icon size for Disabled Danger button</t>
  </si>
  <si>
    <t>btn-disabled-danger-line-height</t>
  </si>
  <si>
    <t>Line height for Disabled Danger button text</t>
  </si>
  <si>
    <t>btn-disabled-warning-bg</t>
  </si>
  <si>
    <t>Background colour for Disabled Warning button</t>
  </si>
  <si>
    <t>Disabled-Warning</t>
  </si>
  <si>
    <t>btn-disabled-warning-text</t>
  </si>
  <si>
    <t>Text colour for Disabled Warning button</t>
  </si>
  <si>
    <t>btn-disabled-warning-border</t>
  </si>
  <si>
    <t>Border colour for Disabled Warning button</t>
  </si>
  <si>
    <t>btn-disabled-warning-hover-bg</t>
  </si>
  <si>
    <t>Hover background colour for Disabled Warning button</t>
  </si>
  <si>
    <t>btn-disabled-warning-hover-text</t>
  </si>
  <si>
    <t>Hover text colour for Disabled Warning button</t>
  </si>
  <si>
    <t>btn-disabled-warning-hover-border</t>
  </si>
  <si>
    <t>Hover border colour for Disabled Warning button</t>
  </si>
  <si>
    <t>btn-disabled-warning-disabled-bg</t>
  </si>
  <si>
    <t>Disabled background colour for Disabled Warning button</t>
  </si>
  <si>
    <t>btn-disabled-warning-disabled-text</t>
  </si>
  <si>
    <t>Disabled text colour for Disabled Warning button</t>
  </si>
  <si>
    <t>btn-disabled-warning-disabled-border</t>
  </si>
  <si>
    <t>Disabled border colour for Disabled Warning button</t>
  </si>
  <si>
    <t>btn-disabled-warning-shadow</t>
  </si>
  <si>
    <t>Shadow style for Disabled Warning button</t>
  </si>
  <si>
    <t>btn-disabled-warning-radius</t>
  </si>
  <si>
    <t>Border radius for Disabled Warning button</t>
  </si>
  <si>
    <t>btn-disabled-warning-padding-x</t>
  </si>
  <si>
    <t>Horizontal padding for Disabled Warning button</t>
  </si>
  <si>
    <t>btn-disabled-warning-padding-y</t>
  </si>
  <si>
    <t>Vertical padding for Disabled Warning button</t>
  </si>
  <si>
    <t>btn-disabled-warning-gap</t>
  </si>
  <si>
    <t>Gap between icon and text for Disabled Warning button</t>
  </si>
  <si>
    <t>btn-disabled-warning-focus-ring</t>
  </si>
  <si>
    <t>Focus ring style for Disabled Warning button</t>
  </si>
  <si>
    <t>0 0 0 3px rgba(255,243,205,0.25)</t>
  </si>
  <si>
    <t>btn-disabled-warning-outline</t>
  </si>
  <si>
    <t>Outline style for Disabled Warning button</t>
  </si>
  <si>
    <t>btn-disabled-warning-transition</t>
  </si>
  <si>
    <t>Transition style for Disabled Warning button</t>
  </si>
  <si>
    <t>btn-disabled-warning-icon-color</t>
  </si>
  <si>
    <t>Icon colour for Disabled Warning button</t>
  </si>
  <si>
    <t>btn-disabled-warning-icon-size</t>
  </si>
  <si>
    <t>Icon size for Disabled Warning button</t>
  </si>
  <si>
    <t>btn-disabled-warning-line-height</t>
  </si>
  <si>
    <t>Line height for Disabled Warning button text</t>
  </si>
  <si>
    <t>btn-disabled-info-bg</t>
  </si>
  <si>
    <t>Background colour for Disabled Info button</t>
  </si>
  <si>
    <t>Disabled-Info</t>
  </si>
  <si>
    <t>btn-disabled-info-text</t>
  </si>
  <si>
    <t>Text colour for Disabled Info button</t>
  </si>
  <si>
    <t>btn-disabled-info-border</t>
  </si>
  <si>
    <t>Border colour for Disabled Info button</t>
  </si>
  <si>
    <t>btn-disabled-info-hover-bg</t>
  </si>
  <si>
    <t>Hover background colour for Disabled Info button</t>
  </si>
  <si>
    <t>btn-disabled-info-hover-text</t>
  </si>
  <si>
    <t>Hover text colour for Disabled Info button</t>
  </si>
  <si>
    <t>btn-disabled-info-hover-border</t>
  </si>
  <si>
    <t>Hover border colour for Disabled Info button</t>
  </si>
  <si>
    <t>btn-disabled-info-disabled-bg</t>
  </si>
  <si>
    <t>Disabled background colour for Disabled Info button</t>
  </si>
  <si>
    <t>btn-disabled-info-disabled-text</t>
  </si>
  <si>
    <t>Disabled text colour for Disabled Info button</t>
  </si>
  <si>
    <t>btn-disabled-info-disabled-border</t>
  </si>
  <si>
    <t>Disabled border colour for Disabled Info button</t>
  </si>
  <si>
    <t>btn-disabled-info-shadow</t>
  </si>
  <si>
    <t>Shadow style for Disabled Info button</t>
  </si>
  <si>
    <t>btn-disabled-info-radius</t>
  </si>
  <si>
    <t>Border radius for Disabled Info button</t>
  </si>
  <si>
    <t>btn-disabled-info-padding-x</t>
  </si>
  <si>
    <t>Horizontal padding for Disabled Info button</t>
  </si>
  <si>
    <t>btn-disabled-info-padding-y</t>
  </si>
  <si>
    <t>Vertical padding for Disabled Info button</t>
  </si>
  <si>
    <t>btn-disabled-info-gap</t>
  </si>
  <si>
    <t>Gap between icon and text for Disabled Info button</t>
  </si>
  <si>
    <t>btn-disabled-info-focus-ring</t>
  </si>
  <si>
    <t>Focus ring style for Disabled Info button</t>
  </si>
  <si>
    <t>0 0 0 3px rgba(207,244,252,0.25)</t>
  </si>
  <si>
    <t>btn-disabled-info-outline</t>
  </si>
  <si>
    <t>Outline style for Disabled Info button</t>
  </si>
  <si>
    <t>btn-disabled-info-transition</t>
  </si>
  <si>
    <t>Transition style for Disabled Info button</t>
  </si>
  <si>
    <t>btn-disabled-info-icon-color</t>
  </si>
  <si>
    <t>Icon colour for Disabled Info button</t>
  </si>
  <si>
    <t>btn-disabled-info-icon-size</t>
  </si>
  <si>
    <t>Icon size for Disabled Info button</t>
  </si>
  <si>
    <t>btn-disabled-info-line-height</t>
  </si>
  <si>
    <t>Line height for Disabled Info button text</t>
  </si>
  <si>
    <t>btn-disabled-light-bg</t>
  </si>
  <si>
    <t>Background colour for Disabled Light button</t>
  </si>
  <si>
    <t>Disabled-Light</t>
  </si>
  <si>
    <t>btn-disabled-light-text</t>
  </si>
  <si>
    <t>Text colour for Disabled Light button</t>
  </si>
  <si>
    <t>btn-disabled-light-border</t>
  </si>
  <si>
    <t>Border colour for Disabled Light button</t>
  </si>
  <si>
    <t>btn-disabled-light-hover-bg</t>
  </si>
  <si>
    <t>Hover background colour for Disabled Light button</t>
  </si>
  <si>
    <t>btn-disabled-light-hover-text</t>
  </si>
  <si>
    <t>Hover text colour for Disabled Light button</t>
  </si>
  <si>
    <t>btn-disabled-light-hover-border</t>
  </si>
  <si>
    <t>Hover border colour for Disabled Light button</t>
  </si>
  <si>
    <t>btn-disabled-light-disabled-bg</t>
  </si>
  <si>
    <t>Disabled background colour for Disabled Light button</t>
  </si>
  <si>
    <t>btn-disabled-light-disabled-text</t>
  </si>
  <si>
    <t>Disabled text colour for Disabled Light button</t>
  </si>
  <si>
    <t>btn-disabled-light-disabled-border</t>
  </si>
  <si>
    <t>Disabled border colour for Disabled Light button</t>
  </si>
  <si>
    <t>btn-disabled-light-shadow</t>
  </si>
  <si>
    <t>Shadow style for Disabled Light button</t>
  </si>
  <si>
    <t>btn-disabled-light-radius</t>
  </si>
  <si>
    <t>Border radius for Disabled Light button</t>
  </si>
  <si>
    <t>btn-disabled-light-padding-x</t>
  </si>
  <si>
    <t>Horizontal padding for Disabled Light button</t>
  </si>
  <si>
    <t>btn-disabled-light-padding-y</t>
  </si>
  <si>
    <t>Vertical padding for Disabled Light button</t>
  </si>
  <si>
    <t>btn-disabled-light-gap</t>
  </si>
  <si>
    <t>Gap between icon and text for Disabled Light button</t>
  </si>
  <si>
    <t>btn-disabled-light-focus-ring</t>
  </si>
  <si>
    <t>Focus ring style for Disabled Light button</t>
  </si>
  <si>
    <t>0 0 0 3px rgba(233,236,239,0.25)</t>
  </si>
  <si>
    <t>btn-disabled-light-outline</t>
  </si>
  <si>
    <t>Outline style for Disabled Light button</t>
  </si>
  <si>
    <t>btn-disabled-light-transition</t>
  </si>
  <si>
    <t>Transition style for Disabled Light button</t>
  </si>
  <si>
    <t>btn-disabled-light-icon-color</t>
  </si>
  <si>
    <t>Icon colour for Disabled Light button</t>
  </si>
  <si>
    <t>btn-disabled-light-icon-size</t>
  </si>
  <si>
    <t>Icon size for Disabled Light button</t>
  </si>
  <si>
    <t>btn-disabled-light-line-height</t>
  </si>
  <si>
    <t>Line height for Disabled Light button text</t>
  </si>
  <si>
    <t>btn-disabled-dark-bg</t>
  </si>
  <si>
    <t>Background colour for Disabled Dark button</t>
  </si>
  <si>
    <t>Disabled-Dark</t>
  </si>
  <si>
    <t>btn-disabled-dark-text</t>
  </si>
  <si>
    <t>Text colour for Disabled Dark button</t>
  </si>
  <si>
    <t>btn-disabled-dark-border</t>
  </si>
  <si>
    <t>Border colour for Disabled Dark button</t>
  </si>
  <si>
    <t>btn-disabled-dark-hover-bg</t>
  </si>
  <si>
    <t>Hover background colour for Disabled Dark button</t>
  </si>
  <si>
    <t>btn-disabled-dark-hover-text</t>
  </si>
  <si>
    <t>Hover text colour for Disabled Dark button</t>
  </si>
  <si>
    <t>btn-disabled-dark-hover-border</t>
  </si>
  <si>
    <t>Hover border colour for Disabled Dark button</t>
  </si>
  <si>
    <t>btn-disabled-dark-disabled-bg</t>
  </si>
  <si>
    <t>Disabled background colour for Disabled Dark button</t>
  </si>
  <si>
    <t>btn-disabled-dark-disabled-text</t>
  </si>
  <si>
    <t>Disabled text colour for Disabled Dark button</t>
  </si>
  <si>
    <t>btn-disabled-dark-disabled-border</t>
  </si>
  <si>
    <t>Disabled border colour for Disabled Dark button</t>
  </si>
  <si>
    <t>btn-disabled-dark-shadow</t>
  </si>
  <si>
    <t>Shadow style for Disabled Dark button</t>
  </si>
  <si>
    <t>btn-disabled-dark-radius</t>
  </si>
  <si>
    <t>Border radius for Disabled Dark button</t>
  </si>
  <si>
    <t>btn-disabled-dark-padding-x</t>
  </si>
  <si>
    <t>Horizontal padding for Disabled Dark button</t>
  </si>
  <si>
    <t>btn-disabled-dark-padding-y</t>
  </si>
  <si>
    <t>Vertical padding for Disabled Dark button</t>
  </si>
  <si>
    <t>btn-disabled-dark-gap</t>
  </si>
  <si>
    <t>Gap between icon and text for Disabled Dark button</t>
  </si>
  <si>
    <t>btn-disabled-dark-focus-ring</t>
  </si>
  <si>
    <t>Focus ring style for Disabled Dark button</t>
  </si>
  <si>
    <t>0 0 0 3px rgba(206,212,218,0.25)</t>
  </si>
  <si>
    <t>btn-disabled-dark-outline</t>
  </si>
  <si>
    <t>Outline style for Disabled Dark button</t>
  </si>
  <si>
    <t>btn-disabled-dark-transition</t>
  </si>
  <si>
    <t>Transition style for Disabled Dark button</t>
  </si>
  <si>
    <t>btn-disabled-dark-icon-color</t>
  </si>
  <si>
    <t>Icon colour for Disabled Dark button</t>
  </si>
  <si>
    <t>btn-disabled-dark-icon-size</t>
  </si>
  <si>
    <t>Icon size for Disabled Dark button</t>
  </si>
  <si>
    <t>btn-disabled-dark-line-height</t>
  </si>
  <si>
    <t>Line height for Disabled Dark button text</t>
  </si>
  <si>
    <t>btn-loading-primary-bg</t>
  </si>
  <si>
    <t>Background colour for Loading Primary button</t>
  </si>
  <si>
    <t>loading</t>
  </si>
  <si>
    <t>Loading-Primary</t>
  </si>
  <si>
    <t>btn-loading-primary-text</t>
  </si>
  <si>
    <t>Text colour for Loading Primary button</t>
  </si>
  <si>
    <t>btn-loading-primary-border</t>
  </si>
  <si>
    <t>Border colour for Loading Primary button</t>
  </si>
  <si>
    <t>btn-loading-primary-hover-bg</t>
  </si>
  <si>
    <t>Hover background colour for Loading Primary button</t>
  </si>
  <si>
    <t>btn-loading-primary-hover-text</t>
  </si>
  <si>
    <t>Hover text colour for Loading Primary button</t>
  </si>
  <si>
    <t>btn-loading-primary-hover-border</t>
  </si>
  <si>
    <t>Hover border colour for Loading Primary button</t>
  </si>
  <si>
    <t>btn-loading-primary-disabled-bg</t>
  </si>
  <si>
    <t>Disabled background colour for Loading Primary button</t>
  </si>
  <si>
    <t>btn-loading-primary-disabled-text</t>
  </si>
  <si>
    <t>Disabled text colour for Loading Primary button</t>
  </si>
  <si>
    <t>btn-loading-primary-disabled-border</t>
  </si>
  <si>
    <t>Disabled border colour for Loading Primary button</t>
  </si>
  <si>
    <t>btn-loading-primary-spinner-color</t>
  </si>
  <si>
    <t>Spinner colour for Loading Primary button</t>
  </si>
  <si>
    <t>spinner-color</t>
  </si>
  <si>
    <t>btn-loading-primary-spinner-size</t>
  </si>
  <si>
    <t>Spinner size for Loading Primary button</t>
  </si>
  <si>
    <t>spinner-size</t>
  </si>
  <si>
    <t>btn-loading-primary-padding-x</t>
  </si>
  <si>
    <t>Horizontal padding for Loading Primary button</t>
  </si>
  <si>
    <t>btn-loading-primary-padding-y</t>
  </si>
  <si>
    <t>Vertical padding for Loading Primary button</t>
  </si>
  <si>
    <t>btn-loading-primary-gap</t>
  </si>
  <si>
    <t>Gap between spinner and text for Loading Primary button</t>
  </si>
  <si>
    <t>btn-loading-primary-focus-ring</t>
  </si>
  <si>
    <t>Focus ring style for Loading Primary button</t>
  </si>
  <si>
    <t>btn-loading-primary-outline</t>
  </si>
  <si>
    <t>Outline style for Loading Primary button</t>
  </si>
  <si>
    <t>btn-loading-primary-transition</t>
  </si>
  <si>
    <t>Transition style for Loading Primary button</t>
  </si>
  <si>
    <t>btn-loading-primary-icon-color</t>
  </si>
  <si>
    <t>Icon colour for Loading Primary button</t>
  </si>
  <si>
    <t>btn-loading-primary-icon-size</t>
  </si>
  <si>
    <t>Icon size for Loading Primary button</t>
  </si>
  <si>
    <t>btn-loading-primary-line-height</t>
  </si>
  <si>
    <t>Line height for Loading Primary button text</t>
  </si>
  <si>
    <t>btn-loading-secondary-bg</t>
  </si>
  <si>
    <t>Background colour for Loading Secondary button</t>
  </si>
  <si>
    <t>Loading-Secondary</t>
  </si>
  <si>
    <t>btn-loading-secondary-text</t>
  </si>
  <si>
    <t>Text colour for Loading Secondary button</t>
  </si>
  <si>
    <t>btn-loading-secondary-border</t>
  </si>
  <si>
    <t>Border colour for Loading Secondary button</t>
  </si>
  <si>
    <t>btn-loading-secondary-hover-bg</t>
  </si>
  <si>
    <t>Hover background colour for Loading Secondary button</t>
  </si>
  <si>
    <t>btn-loading-secondary-hover-text</t>
  </si>
  <si>
    <t>Hover text colour for Loading Secondary button</t>
  </si>
  <si>
    <t>btn-loading-secondary-hover-border</t>
  </si>
  <si>
    <t>Hover border colour for Loading Secondary button</t>
  </si>
  <si>
    <t>btn-loading-secondary-disabled-bg</t>
  </si>
  <si>
    <t>Disabled background colour for Loading Secondary button</t>
  </si>
  <si>
    <t>btn-loading-secondary-disabled-text</t>
  </si>
  <si>
    <t>Disabled text colour for Loading Secondary button</t>
  </si>
  <si>
    <t>btn-loading-secondary-disabled-border</t>
  </si>
  <si>
    <t>Disabled border colour for Loading Secondary button</t>
  </si>
  <si>
    <t>btn-loading-secondary-spinner-color</t>
  </si>
  <si>
    <t>Spinner colour for Loading Secondary button</t>
  </si>
  <si>
    <t>btn-loading-secondary-spinner-size</t>
  </si>
  <si>
    <t>Spinner size for Loading Secondary button</t>
  </si>
  <si>
    <t>btn-loading-secondary-padding-x</t>
  </si>
  <si>
    <t>Horizontal padding for Loading Secondary button</t>
  </si>
  <si>
    <t>btn-loading-secondary-padding-y</t>
  </si>
  <si>
    <t>Vertical padding for Loading Secondary button</t>
  </si>
  <si>
    <t>btn-loading-secondary-gap</t>
  </si>
  <si>
    <t>Gap between spinner and text for Loading Secondary button</t>
  </si>
  <si>
    <t>btn-loading-secondary-focus-ring</t>
  </si>
  <si>
    <t>Focus ring style for Loading Secondary button</t>
  </si>
  <si>
    <t>btn-loading-secondary-outline</t>
  </si>
  <si>
    <t>Outline style for Loading Secondary button</t>
  </si>
  <si>
    <t>btn-loading-secondary-transition</t>
  </si>
  <si>
    <t>Transition style for Loading Secondary button</t>
  </si>
  <si>
    <t>btn-loading-secondary-icon-color</t>
  </si>
  <si>
    <t>Icon colour for Loading Secondary button</t>
  </si>
  <si>
    <t>btn-loading-secondary-icon-size</t>
  </si>
  <si>
    <t>Icon size for Loading Secondary button</t>
  </si>
  <si>
    <t>btn-loading-secondary-line-height</t>
  </si>
  <si>
    <t>Line height for Loading Secondary button text</t>
  </si>
  <si>
    <t>btn-loading-success-bg</t>
  </si>
  <si>
    <t>Background colour for Loading Success button</t>
  </si>
  <si>
    <t>Loading-Success</t>
  </si>
  <si>
    <t>btn-loading-success-text</t>
  </si>
  <si>
    <t>Text colour for Loading Success button</t>
  </si>
  <si>
    <t>btn-loading-success-border</t>
  </si>
  <si>
    <t>Border colour for Loading Success button</t>
  </si>
  <si>
    <t>btn-loading-success-hover-bg</t>
  </si>
  <si>
    <t>Hover background colour for Loading Success button</t>
  </si>
  <si>
    <t>btn-loading-success-hover-text</t>
  </si>
  <si>
    <t>Hover text colour for Loading Success button</t>
  </si>
  <si>
    <t>btn-loading-success-hover-border</t>
  </si>
  <si>
    <t>Hover border colour for Loading Success button</t>
  </si>
  <si>
    <t>btn-loading-success-disabled-bg</t>
  </si>
  <si>
    <t>Disabled background colour for Loading Success button</t>
  </si>
  <si>
    <t>btn-loading-success-disabled-text</t>
  </si>
  <si>
    <t>Disabled text colour for Loading Success button</t>
  </si>
  <si>
    <t>btn-loading-success-disabled-border</t>
  </si>
  <si>
    <t>Disabled border colour for Loading Success button</t>
  </si>
  <si>
    <t>btn-loading-success-spinner-color</t>
  </si>
  <si>
    <t>Spinner colour for Loading Success button</t>
  </si>
  <si>
    <t>btn-loading-success-spinner-size</t>
  </si>
  <si>
    <t>Spinner size for Loading Success button</t>
  </si>
  <si>
    <t>btn-loading-success-padding-x</t>
  </si>
  <si>
    <t>Horizontal padding for Loading Success button</t>
  </si>
  <si>
    <t>btn-loading-success-padding-y</t>
  </si>
  <si>
    <t>Vertical padding for Loading Success button</t>
  </si>
  <si>
    <t>btn-loading-success-gap</t>
  </si>
  <si>
    <t>Gap between spinner and text for Loading Success button</t>
  </si>
  <si>
    <t>btn-loading-success-focus-ring</t>
  </si>
  <si>
    <t>Focus ring style for Loading Success button</t>
  </si>
  <si>
    <t>btn-loading-success-outline</t>
  </si>
  <si>
    <t>Outline style for Loading Success button</t>
  </si>
  <si>
    <t>btn-loading-success-transition</t>
  </si>
  <si>
    <t>Transition style for Loading Success button</t>
  </si>
  <si>
    <t>btn-loading-success-icon-color</t>
  </si>
  <si>
    <t>Icon colour for Loading Success button</t>
  </si>
  <si>
    <t>btn-loading-success-icon-size</t>
  </si>
  <si>
    <t>Icon size for Loading Success button</t>
  </si>
  <si>
    <t>btn-loading-success-line-height</t>
  </si>
  <si>
    <t>Line height for Loading Success button text</t>
  </si>
  <si>
    <t>btn-loading-danger-bg</t>
  </si>
  <si>
    <t>Background colour for Loading Danger button</t>
  </si>
  <si>
    <t>Loading-Danger</t>
  </si>
  <si>
    <t>btn-loading-danger-text</t>
  </si>
  <si>
    <t>Text colour for Loading Danger button</t>
  </si>
  <si>
    <t>btn-loading-danger-border</t>
  </si>
  <si>
    <t>Border colour for Loading Danger button</t>
  </si>
  <si>
    <t>btn-loading-danger-hover-bg</t>
  </si>
  <si>
    <t>Hover background colour for Loading Danger button</t>
  </si>
  <si>
    <t>btn-loading-danger-hover-text</t>
  </si>
  <si>
    <t>Hover text colour for Loading Danger button</t>
  </si>
  <si>
    <t>btn-loading-danger-hover-border</t>
  </si>
  <si>
    <t>Hover border colour for Loading Danger button</t>
  </si>
  <si>
    <t>btn-loading-danger-disabled-bg</t>
  </si>
  <si>
    <t>Disabled background colour for Loading Danger button</t>
  </si>
  <si>
    <t>btn-loading-danger-disabled-text</t>
  </si>
  <si>
    <t>Disabled text colour for Loading Danger button</t>
  </si>
  <si>
    <t>btn-loading-danger-disabled-border</t>
  </si>
  <si>
    <t>Disabled border colour for Loading Danger button</t>
  </si>
  <si>
    <t>btn-loading-danger-spinner-color</t>
  </si>
  <si>
    <t>Spinner colour for Loading Danger button</t>
  </si>
  <si>
    <t>btn-loading-danger-spinner-size</t>
  </si>
  <si>
    <t>Spinner size for Loading Danger button</t>
  </si>
  <si>
    <t>btn-loading-danger-padding-x</t>
  </si>
  <si>
    <t>Horizontal padding for Loading Danger button</t>
  </si>
  <si>
    <t>btn-loading-danger-padding-y</t>
  </si>
  <si>
    <t>Vertical padding for Loading Danger button</t>
  </si>
  <si>
    <t>btn-loading-danger-gap</t>
  </si>
  <si>
    <t>Gap between spinner and text for Loading Danger button</t>
  </si>
  <si>
    <t>btn-loading-danger-focus-ring</t>
  </si>
  <si>
    <t>Focus ring style for Loading Danger button</t>
  </si>
  <si>
    <t>btn-loading-danger-outline</t>
  </si>
  <si>
    <t>Outline style for Loading Danger button</t>
  </si>
  <si>
    <t>btn-loading-danger-transition</t>
  </si>
  <si>
    <t>Transition style for Loading Danger button</t>
  </si>
  <si>
    <t>btn-loading-danger-icon-color</t>
  </si>
  <si>
    <t>Icon colour for Loading Danger button</t>
  </si>
  <si>
    <t>btn-loading-danger-icon-size</t>
  </si>
  <si>
    <t>Icon size for Loading Danger button</t>
  </si>
  <si>
    <t>btn-loading-danger-line-height</t>
  </si>
  <si>
    <t>Line height for Loading Danger button text</t>
  </si>
  <si>
    <t>btn-loading-warning-bg</t>
  </si>
  <si>
    <t>Background colour for Loading Warning button</t>
  </si>
  <si>
    <t>Loading-Warning</t>
  </si>
  <si>
    <t>btn-loading-warning-text</t>
  </si>
  <si>
    <t>Text colour for Loading Warning button</t>
  </si>
  <si>
    <t>btn-loading-warning-border</t>
  </si>
  <si>
    <t>Border colour for Loading Warning button</t>
  </si>
  <si>
    <t>btn-loading-warning-hover-bg</t>
  </si>
  <si>
    <t>Hover background colour for Loading Warning button</t>
  </si>
  <si>
    <t>btn-loading-warning-hover-text</t>
  </si>
  <si>
    <t>Hover text colour for Loading Warning button</t>
  </si>
  <si>
    <t>btn-loading-warning-hover-border</t>
  </si>
  <si>
    <t>Hover border colour for Loading Warning button</t>
  </si>
  <si>
    <t>btn-loading-warning-disabled-bg</t>
  </si>
  <si>
    <t>Disabled background colour for Loading Warning button</t>
  </si>
  <si>
    <t>btn-loading-warning-disabled-text</t>
  </si>
  <si>
    <t>Disabled text colour for Loading Warning button</t>
  </si>
  <si>
    <t>btn-loading-warning-disabled-border</t>
  </si>
  <si>
    <t>Disabled border colour for Loading Warning button</t>
  </si>
  <si>
    <t>btn-loading-warning-spinner-color</t>
  </si>
  <si>
    <t>Spinner colour for Loading Warning button</t>
  </si>
  <si>
    <t>btn-loading-warning-spinner-size</t>
  </si>
  <si>
    <t>Spinner size for Loading Warning button</t>
  </si>
  <si>
    <t>btn-loading-warning-padding-x</t>
  </si>
  <si>
    <t>Horizontal padding for Loading Warning button</t>
  </si>
  <si>
    <t>btn-loading-warning-padding-y</t>
  </si>
  <si>
    <t>Vertical padding for Loading Warning button</t>
  </si>
  <si>
    <t>btn-loading-warning-gap</t>
  </si>
  <si>
    <t>Gap between spinner and text for Loading Warning button</t>
  </si>
  <si>
    <t>btn-loading-warning-focus-ring</t>
  </si>
  <si>
    <t>Focus ring style for Loading Warning button</t>
  </si>
  <si>
    <t>btn-loading-warning-outline</t>
  </si>
  <si>
    <t>Outline style for Loading Warning button</t>
  </si>
  <si>
    <t>btn-loading-warning-transition</t>
  </si>
  <si>
    <t>Transition style for Loading Warning button</t>
  </si>
  <si>
    <t>btn-loading-warning-icon-color</t>
  </si>
  <si>
    <t>Icon colour for Loading Warning button</t>
  </si>
  <si>
    <t>btn-loading-warning-icon-size</t>
  </si>
  <si>
    <t>Icon size for Loading Warning button</t>
  </si>
  <si>
    <t>btn-loading-warning-line-height</t>
  </si>
  <si>
    <t>Line height for Loading Warning button text</t>
  </si>
  <si>
    <t>btn-loading-info-bg</t>
  </si>
  <si>
    <t>Background colour for Loading Info button</t>
  </si>
  <si>
    <t>Loading-Info</t>
  </si>
  <si>
    <t>btn-loading-info-text</t>
  </si>
  <si>
    <t>Text colour for Loading Info button</t>
  </si>
  <si>
    <t>btn-loading-info-border</t>
  </si>
  <si>
    <t>Border colour for Loading Info button</t>
  </si>
  <si>
    <t>btn-loading-info-hover-bg</t>
  </si>
  <si>
    <t>Hover background colour for Loading Info button</t>
  </si>
  <si>
    <t>btn-loading-info-hover-text</t>
  </si>
  <si>
    <t>Hover text colour for Loading Info button</t>
  </si>
  <si>
    <t>btn-loading-info-hover-border</t>
  </si>
  <si>
    <t>Hover border colour for Loading Info button</t>
  </si>
  <si>
    <t>#3dd5f3</t>
  </si>
  <si>
    <t>btn-loading-info-disabled-bg</t>
  </si>
  <si>
    <t>Disabled background colour for Loading Info button</t>
  </si>
  <si>
    <t>btn-loading-info-disabled-text</t>
  </si>
  <si>
    <t>Disabled text colour for Loading Info button</t>
  </si>
  <si>
    <t>btn-loading-info-disabled-border</t>
  </si>
  <si>
    <t>Disabled border colour for Loading Info button</t>
  </si>
  <si>
    <t>btn-loading-info-spinner-color</t>
  </si>
  <si>
    <t>Spinner colour for Loading Info button</t>
  </si>
  <si>
    <t>btn-loading-info-spinner-size</t>
  </si>
  <si>
    <t>Spinner size for Loading Info button</t>
  </si>
  <si>
    <t>btn-loading-info-padding-x</t>
  </si>
  <si>
    <t>Horizontal padding for Loading Info button</t>
  </si>
  <si>
    <t>btn-loading-info-padding-y</t>
  </si>
  <si>
    <t>Vertical padding for Loading Info button</t>
  </si>
  <si>
    <t>btn-loading-info-gap</t>
  </si>
  <si>
    <t>Gap between spinner and text for Loading Info button</t>
  </si>
  <si>
    <t>btn-loading-info-focus-ring</t>
  </si>
  <si>
    <t>Focus ring style for Loading Info button</t>
  </si>
  <si>
    <t>btn-loading-info-outline</t>
  </si>
  <si>
    <t>Outline style for Loading Info button</t>
  </si>
  <si>
    <t>btn-loading-info-transition</t>
  </si>
  <si>
    <t>Transition style for Loading Info button</t>
  </si>
  <si>
    <t>btn-loading-info-icon-color</t>
  </si>
  <si>
    <t>Icon colour for Loading Info button</t>
  </si>
  <si>
    <t>btn-loading-info-icon-size</t>
  </si>
  <si>
    <t>Icon size for Loading Info button</t>
  </si>
  <si>
    <t>btn-loading-info-line-height</t>
  </si>
  <si>
    <t>Line height for Loading Info button text</t>
  </si>
  <si>
    <t>btn-loading-light-bg</t>
  </si>
  <si>
    <t>Background colour for Loading Light button</t>
  </si>
  <si>
    <t>Loading-Light</t>
  </si>
  <si>
    <t>btn-loading-light-text</t>
  </si>
  <si>
    <t>Text colour for Loading Light button</t>
  </si>
  <si>
    <t>btn-loading-light-border</t>
  </si>
  <si>
    <t>Border colour for Loading Light button</t>
  </si>
  <si>
    <t>btn-loading-light-hover-bg</t>
  </si>
  <si>
    <t>Hover background colour for Loading Light button</t>
  </si>
  <si>
    <t>btn-loading-light-hover-text</t>
  </si>
  <si>
    <t>Hover text colour for Loading Light button</t>
  </si>
  <si>
    <t>btn-loading-light-hover-border</t>
  </si>
  <si>
    <t>Hover border colour for Loading Light button</t>
  </si>
  <si>
    <t>btn-loading-light-disabled-bg</t>
  </si>
  <si>
    <t>Disabled background colour for Loading Light button</t>
  </si>
  <si>
    <t>btn-loading-light-disabled-text</t>
  </si>
  <si>
    <t>Disabled text colour for Loading Light button</t>
  </si>
  <si>
    <t>btn-loading-light-disabled-border</t>
  </si>
  <si>
    <t>Disabled border colour for Loading Light button</t>
  </si>
  <si>
    <t>btn-loading-light-spinner-color</t>
  </si>
  <si>
    <t>Spinner colour for Loading Light button</t>
  </si>
  <si>
    <t>btn-loading-light-spinner-size</t>
  </si>
  <si>
    <t>Spinner size for Loading Light button</t>
  </si>
  <si>
    <t>btn-loading-light-padding-x</t>
  </si>
  <si>
    <t>Horizontal padding for Loading Light button</t>
  </si>
  <si>
    <t>btn-loading-light-padding-y</t>
  </si>
  <si>
    <t>Vertical padding for Loading Light button</t>
  </si>
  <si>
    <t>btn-loading-light-gap</t>
  </si>
  <si>
    <t>Gap between spinner and text for Loading Light button</t>
  </si>
  <si>
    <t>btn-loading-light-focus-ring</t>
  </si>
  <si>
    <t>Focus ring style for Loading Light button</t>
  </si>
  <si>
    <t>btn-loading-light-outline</t>
  </si>
  <si>
    <t>Outline style for Loading Light button</t>
  </si>
  <si>
    <t>btn-loading-light-transition</t>
  </si>
  <si>
    <t>Transition style for Loading Light button</t>
  </si>
  <si>
    <t>btn-loading-light-icon-color</t>
  </si>
  <si>
    <t>Icon colour for Loading Light button</t>
  </si>
  <si>
    <t>btn-loading-light-icon-size</t>
  </si>
  <si>
    <t>Icon size for Loading Light button</t>
  </si>
  <si>
    <t>btn-loading-light-line-height</t>
  </si>
  <si>
    <t>Line height for Loading Light button text</t>
  </si>
  <si>
    <t>btn-loading-dark-bg</t>
  </si>
  <si>
    <t>Background colour for Loading Dark button</t>
  </si>
  <si>
    <t>Loading-Dark</t>
  </si>
  <si>
    <t>btn-loading-dark-text</t>
  </si>
  <si>
    <t>Text colour for Loading Dark button</t>
  </si>
  <si>
    <t>btn-loading-dark-border</t>
  </si>
  <si>
    <t>Border colour for Loading Dark button</t>
  </si>
  <si>
    <t>btn-loading-dark-hover-bg</t>
  </si>
  <si>
    <t>Hover background colour for Loading Dark button</t>
  </si>
  <si>
    <t>btn-loading-dark-hover-text</t>
  </si>
  <si>
    <t>Hover text colour for Loading Dark button</t>
  </si>
  <si>
    <t>btn-loading-dark-hover-border</t>
  </si>
  <si>
    <t>Hover border colour for Loading Dark button</t>
  </si>
  <si>
    <t>btn-loading-dark-disabled-bg</t>
  </si>
  <si>
    <t>Disabled background colour for Loading Dark button</t>
  </si>
  <si>
    <t>btn-loading-dark-disabled-text</t>
  </si>
  <si>
    <t>Disabled text colour for Loading Dark button</t>
  </si>
  <si>
    <t>btn-loading-dark-disabled-border</t>
  </si>
  <si>
    <t>Disabled border colour for Loading Dark button</t>
  </si>
  <si>
    <t>btn-loading-dark-spinner-color</t>
  </si>
  <si>
    <t>Spinner colour for Loading Dark button</t>
  </si>
  <si>
    <t>btn-loading-dark-spinner-size</t>
  </si>
  <si>
    <t>Spinner size for Loading Dark button</t>
  </si>
  <si>
    <t>btn-loading-dark-padding-x</t>
  </si>
  <si>
    <t>Horizontal padding for Loading Dark button</t>
  </si>
  <si>
    <t>btn-loading-dark-padding-y</t>
  </si>
  <si>
    <t>Vertical padding for Loading Dark button</t>
  </si>
  <si>
    <t>btn-loading-dark-gap</t>
  </si>
  <si>
    <t>Gap between spinner and text for Loading Dark button</t>
  </si>
  <si>
    <t>btn-loading-dark-focus-ring</t>
  </si>
  <si>
    <t>Focus ring style for Loading Dark button</t>
  </si>
  <si>
    <t>btn-loading-dark-outline</t>
  </si>
  <si>
    <t>Outline style for Loading Dark button</t>
  </si>
  <si>
    <t>btn-loading-dark-transition</t>
  </si>
  <si>
    <t>Transition style for Loading Dark button</t>
  </si>
  <si>
    <t>btn-loading-dark-icon-color</t>
  </si>
  <si>
    <t>Icon colour for Loading Dark button</t>
  </si>
  <si>
    <t>btn-loading-dark-icon-size</t>
  </si>
  <si>
    <t>Icon size for Loading Dark button</t>
  </si>
  <si>
    <t>btn-loading-dark-line-height</t>
  </si>
  <si>
    <t>Line height for Loading Dark button text</t>
  </si>
  <si>
    <t>btn-loading-primary-outline-bg</t>
  </si>
  <si>
    <t>Background colour for Loading Primary Outline button</t>
  </si>
  <si>
    <t>primary-outline</t>
  </si>
  <si>
    <t>Loading-Primary-Outline</t>
  </si>
  <si>
    <t>btn-loading-primary-outline-text</t>
  </si>
  <si>
    <t>Text colour for Loading Primary Outline button</t>
  </si>
  <si>
    <t>btn-loading-primary-outline-border</t>
  </si>
  <si>
    <t>Border colour for Loading Primary Outline button</t>
  </si>
  <si>
    <t>btn-loading-primary-outline-hover-bg</t>
  </si>
  <si>
    <t>Hover background colour for Loading Primary Outline button</t>
  </si>
  <si>
    <t>btn-loading-primary-outline-hover-text</t>
  </si>
  <si>
    <t>Hover text colour for Loading Primary Outline button</t>
  </si>
  <si>
    <t>btn-loading-primary-outline-hover-border</t>
  </si>
  <si>
    <t>Hover border colour for Loading Primary Outline button</t>
  </si>
  <si>
    <t>btn-loading-primary-outline-disabled-bg</t>
  </si>
  <si>
    <t>Disabled background colour for Loading Primary Outline button</t>
  </si>
  <si>
    <t>btn-loading-primary-outline-disabled-text</t>
  </si>
  <si>
    <t>Disabled text colour for Loading Primary Outline button</t>
  </si>
  <si>
    <t>btn-loading-primary-outline-disabled-border</t>
  </si>
  <si>
    <t>Disabled border colour for Loading Primary Outline button</t>
  </si>
  <si>
    <t>btn-loading-primary-outline-spinner-color</t>
  </si>
  <si>
    <t>Spinner colour for Loading Primary Outline button</t>
  </si>
  <si>
    <t>btn-loading-primary-outline-spinner-size</t>
  </si>
  <si>
    <t>Spinner size for Loading Primary Outline button</t>
  </si>
  <si>
    <t>btn-loading-primary-outline-padding-x</t>
  </si>
  <si>
    <t>Horizontal padding for Loading Primary Outline button</t>
  </si>
  <si>
    <t>btn-loading-primary-outline-padding-y</t>
  </si>
  <si>
    <t>Vertical padding for Loading Primary Outline button</t>
  </si>
  <si>
    <t>btn-loading-primary-outline-gap</t>
  </si>
  <si>
    <t>Gap between spinner and text for Loading Primary Outline button</t>
  </si>
  <si>
    <t>btn-loading-primary-outline-focus-ring</t>
  </si>
  <si>
    <t>Focus ring style for Loading Primary Outline button</t>
  </si>
  <si>
    <t>btn-loading-primary-outline-outline</t>
  </si>
  <si>
    <t>Outline style for Loading Primary Outline button</t>
  </si>
  <si>
    <t>btn-loading-primary-outline-transition</t>
  </si>
  <si>
    <t>Transition style for Loading Primary Outline button</t>
  </si>
  <si>
    <t>btn-loading-primary-outline-icon-color</t>
  </si>
  <si>
    <t>Icon colour for Loading Primary Outline button</t>
  </si>
  <si>
    <t>btn-loading-primary-outline-icon-size</t>
  </si>
  <si>
    <t>Icon size for Loading Primary Outline button</t>
  </si>
  <si>
    <t>btn-loading-primary-outline-line-height</t>
  </si>
  <si>
    <t>Line height for Loading Primary Outline button text</t>
  </si>
  <si>
    <t>btn-loading-secondary-outline-bg</t>
  </si>
  <si>
    <t>Background colour for Loading Secondary Outline button</t>
  </si>
  <si>
    <t>secondary-outline</t>
  </si>
  <si>
    <t>Loading-Secondary-Outline</t>
  </si>
  <si>
    <t>btn-loading-secondary-outline-text</t>
  </si>
  <si>
    <t>Text colour for Loading Secondary Outline button</t>
  </si>
  <si>
    <t>btn-loading-secondary-outline-border</t>
  </si>
  <si>
    <t>Border colour for Loading Secondary Outline button</t>
  </si>
  <si>
    <t>btn-loading-secondary-outline-hover-bg</t>
  </si>
  <si>
    <t>Hover background colour for Loading Secondary Outline button</t>
  </si>
  <si>
    <t>btn-loading-secondary-outline-hover-text</t>
  </si>
  <si>
    <t>Hover text colour for Loading Secondary Outline button</t>
  </si>
  <si>
    <t>btn-loading-secondary-outline-hover-border</t>
  </si>
  <si>
    <t>Hover border colour for Loading Secondary Outline button</t>
  </si>
  <si>
    <t>btn-loading-secondary-outline-disabled-bg</t>
  </si>
  <si>
    <t>Disabled background colour for Loading Secondary Outline button</t>
  </si>
  <si>
    <t>btn-loading-secondary-outline-disabled-text</t>
  </si>
  <si>
    <t>Disabled text colour for Loading Secondary Outline button</t>
  </si>
  <si>
    <t>btn-loading-secondary-outline-disabled-border</t>
  </si>
  <si>
    <t>Disabled border colour for Loading Secondary Outline button</t>
  </si>
  <si>
    <t>btn-loading-secondary-outline-spinner-color</t>
  </si>
  <si>
    <t>Spinner colour for Loading Secondary Outline button</t>
  </si>
  <si>
    <t>btn-loading-secondary-outline-spinner-size</t>
  </si>
  <si>
    <t>Spinner size for Loading Secondary Outline button</t>
  </si>
  <si>
    <t>btn-loading-secondary-outline-padding-x</t>
  </si>
  <si>
    <t>Horizontal padding for Loading Secondary Outline button</t>
  </si>
  <si>
    <t>btn-loading-secondary-outline-padding-y</t>
  </si>
  <si>
    <t>Vertical padding for Loading Secondary Outline button</t>
  </si>
  <si>
    <t>btn-loading-secondary-outline-gap</t>
  </si>
  <si>
    <t>Gap between spinner and text for Loading Secondary Outline button</t>
  </si>
  <si>
    <t>btn-loading-secondary-outline-focus-ring</t>
  </si>
  <si>
    <t>Focus ring style for Loading Secondary Outline button</t>
  </si>
  <si>
    <t>btn-loading-secondary-outline-outline</t>
  </si>
  <si>
    <t>Outline style for Loading Secondary Outline button</t>
  </si>
  <si>
    <t>btn-loading-secondary-outline-transition</t>
  </si>
  <si>
    <t>Transition style for Loading Secondary Outline button</t>
  </si>
  <si>
    <t>btn-loading-secondary-outline-icon-color</t>
  </si>
  <si>
    <t>Icon colour for Loading Secondary Outline button</t>
  </si>
  <si>
    <t>btn-loading-secondary-outline-icon-size</t>
  </si>
  <si>
    <t>Icon size for Loading Secondary Outline button</t>
  </si>
  <si>
    <t>btn-loading-secondary-outline-line-height</t>
  </si>
  <si>
    <t>Line height for Loading Secondary Outline button text</t>
  </si>
  <si>
    <t>btn-block-primary-bg</t>
  </si>
  <si>
    <t>Background colour for Block Primary button</t>
  </si>
  <si>
    <t>block</t>
  </si>
  <si>
    <t>Block-Primary</t>
  </si>
  <si>
    <t>btn-block-primary-text</t>
  </si>
  <si>
    <t>Text colour for Block Primary button</t>
  </si>
  <si>
    <t>btn-block-primary-border</t>
  </si>
  <si>
    <t>Border colour for Block Primary button</t>
  </si>
  <si>
    <t>btn-block-primary-hover-bg</t>
  </si>
  <si>
    <t>Hover background colour for Block Primary button</t>
  </si>
  <si>
    <t>btn-block-primary-hover-text</t>
  </si>
  <si>
    <t>Hover text colour for Block Primary button</t>
  </si>
  <si>
    <t>btn-block-primary-hover-border</t>
  </si>
  <si>
    <t>Hover border colour for Block Primary button</t>
  </si>
  <si>
    <t>btn-block-primary-disabled-bg</t>
  </si>
  <si>
    <t>Disabled background colour for Block Primary button</t>
  </si>
  <si>
    <t>btn-block-primary-disabled-text</t>
  </si>
  <si>
    <t>Disabled text colour for Block Primary button</t>
  </si>
  <si>
    <t>btn-block-primary-disabled-border</t>
  </si>
  <si>
    <t>Disabled border colour for Block Primary button</t>
  </si>
  <si>
    <t>btn-block-primary-shadow</t>
  </si>
  <si>
    <t>Shadow style for Block Primary button</t>
  </si>
  <si>
    <t>btn-block-primary-radius</t>
  </si>
  <si>
    <t>Border radius for Block Primary button</t>
  </si>
  <si>
    <t>btn-block-primary-padding-x</t>
  </si>
  <si>
    <t>Horizontal padding for Block Primary button</t>
  </si>
  <si>
    <t>btn-block-primary-padding-y</t>
  </si>
  <si>
    <t>Vertical padding for Block Primary button</t>
  </si>
  <si>
    <t>btn-block-primary-gap</t>
  </si>
  <si>
    <t>Gap between icon and text for Block Primary button</t>
  </si>
  <si>
    <t>btn-block-primary-focus-ring</t>
  </si>
  <si>
    <t>Focus ring style for Block Primary button</t>
  </si>
  <si>
    <t>btn-block-primary-outline</t>
  </si>
  <si>
    <t>Outline style for Block Primary button</t>
  </si>
  <si>
    <t>btn-block-primary-transition</t>
  </si>
  <si>
    <t>Transition style for Block Primary button</t>
  </si>
  <si>
    <t>btn-block-primary-icon-color</t>
  </si>
  <si>
    <t>Icon colour for Block Primary button</t>
  </si>
  <si>
    <t>btn-block-primary-icon-size</t>
  </si>
  <si>
    <t>Icon size for Block Primary button</t>
  </si>
  <si>
    <t>btn-block-primary-line-height</t>
  </si>
  <si>
    <t>Line height for Block Primary button text</t>
  </si>
  <si>
    <t>btn-block-secondary-bg</t>
  </si>
  <si>
    <t>Background colour for Block Secondary button</t>
  </si>
  <si>
    <t>Block-Secondary</t>
  </si>
  <si>
    <t>btn-block-secondary-text</t>
  </si>
  <si>
    <t>Text colour for Block Secondary button</t>
  </si>
  <si>
    <t>btn-block-secondary-border</t>
  </si>
  <si>
    <t>Border colour for Block Secondary button</t>
  </si>
  <si>
    <t>btn-block-secondary-hover-bg</t>
  </si>
  <si>
    <t>Hover background colour for Block Secondary button</t>
  </si>
  <si>
    <t>btn-block-secondary-hover-text</t>
  </si>
  <si>
    <t>Hover text colour for Block Secondary button</t>
  </si>
  <si>
    <t>btn-block-secondary-hover-border</t>
  </si>
  <si>
    <t>Hover border colour for Block Secondary button</t>
  </si>
  <si>
    <t>#cbd3da</t>
  </si>
  <si>
    <t>btn-block-secondary-disabled-bg</t>
  </si>
  <si>
    <t>Disabled background colour for Block Secondary button</t>
  </si>
  <si>
    <t>btn-block-secondary-disabled-text</t>
  </si>
  <si>
    <t>Disabled text colour for Block Secondary button</t>
  </si>
  <si>
    <t>btn-block-secondary-disabled-border</t>
  </si>
  <si>
    <t>Disabled border colour for Block Secondary button</t>
  </si>
  <si>
    <t>#d3d9df</t>
  </si>
  <si>
    <t>btn-block-secondary-shadow</t>
  </si>
  <si>
    <t>Shadow style for Block Secondary button</t>
  </si>
  <si>
    <t>btn-block-secondary-radius</t>
  </si>
  <si>
    <t>Border radius for Block Secondary button</t>
  </si>
  <si>
    <t>btn-block-secondary-padding-x</t>
  </si>
  <si>
    <t>Horizontal padding for Block Secondary button</t>
  </si>
  <si>
    <t>btn-block-secondary-padding-y</t>
  </si>
  <si>
    <t>Vertical padding for Block Secondary button</t>
  </si>
  <si>
    <t>btn-block-secondary-gap</t>
  </si>
  <si>
    <t>Gap between icon and text for Block Secondary button</t>
  </si>
  <si>
    <t>btn-block-secondary-focus-ring</t>
  </si>
  <si>
    <t>Focus ring style for Block Secondary button</t>
  </si>
  <si>
    <t>btn-block-secondary-outline</t>
  </si>
  <si>
    <t>Outline style for Block Secondary button</t>
  </si>
  <si>
    <t>btn-block-secondary-transition</t>
  </si>
  <si>
    <t>Transition style for Block Secondary button</t>
  </si>
  <si>
    <t>btn-block-secondary-icon-color</t>
  </si>
  <si>
    <t>Icon colour for Block Secondary button</t>
  </si>
  <si>
    <t>btn-block-secondary-icon-size</t>
  </si>
  <si>
    <t>Icon size for Block Secondary button</t>
  </si>
  <si>
    <t>btn-block-secondary-line-height</t>
  </si>
  <si>
    <t>Line height for Block Secondary button text</t>
  </si>
  <si>
    <t>btn-block-success-bg</t>
  </si>
  <si>
    <t>Background colour for Block Success button</t>
  </si>
  <si>
    <t>Block-Success</t>
  </si>
  <si>
    <t>btn-block-success-text</t>
  </si>
  <si>
    <t>Text colour for Block Success button</t>
  </si>
  <si>
    <t>btn-block-success-border</t>
  </si>
  <si>
    <t>Border colour for Block Success button</t>
  </si>
  <si>
    <t>btn-block-success-hover-bg</t>
  </si>
  <si>
    <t>Hover background colour for Block Success button</t>
  </si>
  <si>
    <t>btn-block-success-hover-text</t>
  </si>
  <si>
    <t>Hover text colour for Block Success button</t>
  </si>
  <si>
    <t>btn-block-success-hover-border</t>
  </si>
  <si>
    <t>Hover border colour for Block Success button</t>
  </si>
  <si>
    <t>btn-block-success-disabled-bg</t>
  </si>
  <si>
    <t>Disabled background colour for Block Success button</t>
  </si>
  <si>
    <t>btn-block-success-disabled-text</t>
  </si>
  <si>
    <t>Disabled text colour for Block Success button</t>
  </si>
  <si>
    <t>btn-block-success-disabled-border</t>
  </si>
  <si>
    <t>Disabled border colour for Block Success button</t>
  </si>
  <si>
    <t>btn-block-success-shadow</t>
  </si>
  <si>
    <t>Shadow style for Block Success button</t>
  </si>
  <si>
    <t>btn-block-success-radius</t>
  </si>
  <si>
    <t>Border radius for Block Success button</t>
  </si>
  <si>
    <t>btn-block-success-padding-x</t>
  </si>
  <si>
    <t>Horizontal padding for Block Success button</t>
  </si>
  <si>
    <t>btn-block-success-padding-y</t>
  </si>
  <si>
    <t>Vertical padding for Block Success button</t>
  </si>
  <si>
    <t>btn-block-success-gap</t>
  </si>
  <si>
    <t>Gap between icon and text for Block Success button</t>
  </si>
  <si>
    <t>btn-block-success-focus-ring</t>
  </si>
  <si>
    <t>Focus ring style for Block Success button</t>
  </si>
  <si>
    <t>btn-block-success-outline</t>
  </si>
  <si>
    <t>Outline style for Block Success button</t>
  </si>
  <si>
    <t>btn-block-success-transition</t>
  </si>
  <si>
    <t>Transition style for Block Success button</t>
  </si>
  <si>
    <t>btn-block-success-icon-color</t>
  </si>
  <si>
    <t>Icon colour for Block Success button</t>
  </si>
  <si>
    <t>btn-block-success-icon-size</t>
  </si>
  <si>
    <t>Icon size for Block Success button</t>
  </si>
  <si>
    <t>btn-block-success-line-height</t>
  </si>
  <si>
    <t>Line height for Block Success button text</t>
  </si>
  <si>
    <t>btn-block-danger-bg</t>
  </si>
  <si>
    <t>Background colour for Block Danger button</t>
  </si>
  <si>
    <t>Block-Danger</t>
  </si>
  <si>
    <t>btn-block-danger-text</t>
  </si>
  <si>
    <t>Text colour for Block Danger button</t>
  </si>
  <si>
    <t>btn-block-danger-border</t>
  </si>
  <si>
    <t>Border colour for Block Danger button</t>
  </si>
  <si>
    <t>btn-block-danger-hover-bg</t>
  </si>
  <si>
    <t>Hover background colour for Block Danger button</t>
  </si>
  <si>
    <t>btn-block-danger-hover-text</t>
  </si>
  <si>
    <t>Hover text colour for Block Danger button</t>
  </si>
  <si>
    <t>btn-block-danger-hover-border</t>
  </si>
  <si>
    <t>Hover border colour for Block Danger button</t>
  </si>
  <si>
    <t>btn-block-danger-disabled-bg</t>
  </si>
  <si>
    <t>Disabled background colour for Block Danger button</t>
  </si>
  <si>
    <t>btn-block-danger-disabled-text</t>
  </si>
  <si>
    <t>Disabled text colour for Block Danger button</t>
  </si>
  <si>
    <t>btn-block-danger-disabled-border</t>
  </si>
  <si>
    <t>Disabled border colour for Block Danger button</t>
  </si>
  <si>
    <t>#e4b8bc</t>
  </si>
  <si>
    <t>btn-block-danger-shadow</t>
  </si>
  <si>
    <t>Shadow style for Block Danger button</t>
  </si>
  <si>
    <t>btn-block-danger-radius</t>
  </si>
  <si>
    <t>Border radius for Block Danger button</t>
  </si>
  <si>
    <t>btn-block-danger-padding-x</t>
  </si>
  <si>
    <t>Horizontal padding for Block Danger button</t>
  </si>
  <si>
    <t>btn-block-danger-padding-y</t>
  </si>
  <si>
    <t>Vertical padding for Block Danger button</t>
  </si>
  <si>
    <t>btn-block-danger-gap</t>
  </si>
  <si>
    <t>Gap between icon and text for Block Danger button</t>
  </si>
  <si>
    <t>btn-block-danger-focus-ring</t>
  </si>
  <si>
    <t>Focus ring style for Block Danger button</t>
  </si>
  <si>
    <t>btn-block-danger-outline</t>
  </si>
  <si>
    <t>Outline style for Block Danger button</t>
  </si>
  <si>
    <t>btn-block-danger-transition</t>
  </si>
  <si>
    <t>Transition style for Block Danger button</t>
  </si>
  <si>
    <t>btn-block-danger-icon-color</t>
  </si>
  <si>
    <t>Icon colour for Block Danger button</t>
  </si>
  <si>
    <t>btn-block-danger-icon-size</t>
  </si>
  <si>
    <t>Icon size for Block Danger button</t>
  </si>
  <si>
    <t>btn-block-danger-line-height</t>
  </si>
  <si>
    <t>Line height for Block Danger button text</t>
  </si>
  <si>
    <t>btn-block-warning-bg</t>
  </si>
  <si>
    <t>Background colour for Block Warning button</t>
  </si>
  <si>
    <t>Block-Warning</t>
  </si>
  <si>
    <t>btn-block-warning-text</t>
  </si>
  <si>
    <t>Text colour for Block Warning button</t>
  </si>
  <si>
    <t>btn-block-warning-border</t>
  </si>
  <si>
    <t>Border colour for Block Warning button</t>
  </si>
  <si>
    <t>btn-block-warning-hover-bg</t>
  </si>
  <si>
    <t>Hover background colour for Block Warning button</t>
  </si>
  <si>
    <t>btn-block-warning-hover-text</t>
  </si>
  <si>
    <t>Hover text colour for Block Warning button</t>
  </si>
  <si>
    <t>btn-block-warning-hover-border</t>
  </si>
  <si>
    <t>Hover border colour for Block Warning button</t>
  </si>
  <si>
    <t>#e6b800</t>
  </si>
  <si>
    <t>btn-block-warning-disabled-bg</t>
  </si>
  <si>
    <t>Disabled background colour for Block Warning button</t>
  </si>
  <si>
    <t>btn-block-warning-disabled-text</t>
  </si>
  <si>
    <t>Disabled text colour for Block Warning button</t>
  </si>
  <si>
    <t>btn-block-warning-disabled-border</t>
  </si>
  <si>
    <t>Disabled border colour for Block Warning button</t>
  </si>
  <si>
    <t>#e6d9a8</t>
  </si>
  <si>
    <t>btn-block-warning-shadow</t>
  </si>
  <si>
    <t>Shadow style for Block Warning button</t>
  </si>
  <si>
    <t>btn-block-warning-radius</t>
  </si>
  <si>
    <t>Border radius for Block Warning button</t>
  </si>
  <si>
    <t>btn-block-warning-padding-x</t>
  </si>
  <si>
    <t>Horizontal padding for Block Warning button</t>
  </si>
  <si>
    <t>btn-block-warning-padding-y</t>
  </si>
  <si>
    <t>Vertical padding for Block Warning button</t>
  </si>
  <si>
    <t>btn-block-warning-gap</t>
  </si>
  <si>
    <t>Gap between icon and text for Block Warning button</t>
  </si>
  <si>
    <t>btn-block-warning-focus-ring</t>
  </si>
  <si>
    <t>Focus ring style for Block Warning button</t>
  </si>
  <si>
    <t>btn-block-warning-outline</t>
  </si>
  <si>
    <t>Outline style for Block Warning button</t>
  </si>
  <si>
    <t>btn-block-warning-transition</t>
  </si>
  <si>
    <t>Transition style for Block Warning button</t>
  </si>
  <si>
    <t>btn-block-warning-icon-color</t>
  </si>
  <si>
    <t>Icon colour for Block Warning button</t>
  </si>
  <si>
    <t>btn-block-warning-icon-size</t>
  </si>
  <si>
    <t>Icon size for Block Warning button</t>
  </si>
  <si>
    <t>btn-block-warning-line-height</t>
  </si>
  <si>
    <t>Line height for Block Warning button text</t>
  </si>
  <si>
    <t>btn-block-info-bg</t>
  </si>
  <si>
    <t>Background colour for Block Info button</t>
  </si>
  <si>
    <t>Block-Info</t>
  </si>
  <si>
    <t>btn-block-info-text</t>
  </si>
  <si>
    <t>Text colour for Block Info button</t>
  </si>
  <si>
    <t>btn-block-info-border</t>
  </si>
  <si>
    <t>Border colour for Block Info button</t>
  </si>
  <si>
    <t>#0bbcd8</t>
  </si>
  <si>
    <t>btn-block-info-hover-bg</t>
  </si>
  <si>
    <t>Hover background colour for Block Info button</t>
  </si>
  <si>
    <t>btn-block-info-hover-text</t>
  </si>
  <si>
    <t>Hover text colour for Block Info button</t>
  </si>
  <si>
    <t>btn-block-info-hover-border</t>
  </si>
  <si>
    <t>Hover border colour for Block Info button</t>
  </si>
  <si>
    <t>#0ab0cc</t>
  </si>
  <si>
    <t>btn-block-info-disabled-bg</t>
  </si>
  <si>
    <t>Disabled background colour for Block Info button</t>
  </si>
  <si>
    <t>btn-block-info-disabled-text</t>
  </si>
  <si>
    <t>Disabled text colour for Block Info button</t>
  </si>
  <si>
    <t>btn-block-info-disabled-border</t>
  </si>
  <si>
    <t>Disabled border colour for Block Info button</t>
  </si>
  <si>
    <t>#b6dce3</t>
  </si>
  <si>
    <t>btn-block-info-shadow</t>
  </si>
  <si>
    <t>Shadow style for Block Info button</t>
  </si>
  <si>
    <t>btn-block-info-radius</t>
  </si>
  <si>
    <t>Border radius for Block Info button</t>
  </si>
  <si>
    <t>btn-block-info-padding-x</t>
  </si>
  <si>
    <t>Horizontal padding for Block Info button</t>
  </si>
  <si>
    <t>btn-block-info-padding-y</t>
  </si>
  <si>
    <t>Vertical padding for Block Info button</t>
  </si>
  <si>
    <t>btn-block-info-gap</t>
  </si>
  <si>
    <t>Gap between icon and text for Block Info button</t>
  </si>
  <si>
    <t>btn-block-info-focus-ring</t>
  </si>
  <si>
    <t>Focus ring style for Block Info button</t>
  </si>
  <si>
    <t>btn-block-info-outline</t>
  </si>
  <si>
    <t>Outline style for Block Info button</t>
  </si>
  <si>
    <t>btn-block-info-transition</t>
  </si>
  <si>
    <t>Transition style for Block Info button</t>
  </si>
  <si>
    <t>btn-block-info-icon-color</t>
  </si>
  <si>
    <t>Icon colour for Block Info button</t>
  </si>
  <si>
    <t>btn-block-info-icon-size</t>
  </si>
  <si>
    <t>Icon size for Block Info button</t>
  </si>
  <si>
    <t>btn-block-info-line-height</t>
  </si>
  <si>
    <t>Line height for Block Info button text</t>
  </si>
  <si>
    <t>btn-action-bg</t>
  </si>
  <si>
    <t>Background colour for Action button</t>
  </si>
  <si>
    <t>action</t>
  </si>
  <si>
    <t>Action-Button</t>
  </si>
  <si>
    <t>btn-action-bg-hover</t>
  </si>
  <si>
    <t>Hover background colour for Action button</t>
  </si>
  <si>
    <t>bg-hover</t>
  </si>
  <si>
    <t>btn-action-bg-active</t>
  </si>
  <si>
    <t>Active background colour for Action button</t>
  </si>
  <si>
    <t>bg-active</t>
  </si>
  <si>
    <t>btn-action-bg-disabled</t>
  </si>
  <si>
    <t>Disabled background colour for Action button</t>
  </si>
  <si>
    <t>bg-disabled</t>
  </si>
  <si>
    <t>btn-action-border</t>
  </si>
  <si>
    <t>Border colour for Action button</t>
  </si>
  <si>
    <t>btn-action-border-hover</t>
  </si>
  <si>
    <t>Hover border colour for Action button</t>
  </si>
  <si>
    <t>border-hover</t>
  </si>
  <si>
    <t>btn-action-border-active</t>
  </si>
  <si>
    <t>Active border colour for Action button</t>
  </si>
  <si>
    <t>border-active</t>
  </si>
  <si>
    <t>btn-action-border-disabled</t>
  </si>
  <si>
    <t>Disabled border colour for Action button</t>
  </si>
  <si>
    <t>border-disabled</t>
  </si>
  <si>
    <t>btn-action-color</t>
  </si>
  <si>
    <t>Text colour for Action button</t>
  </si>
  <si>
    <t>btn-action-color-hover</t>
  </si>
  <si>
    <t>Hover text colour for Action button</t>
  </si>
  <si>
    <t>color-hover</t>
  </si>
  <si>
    <t>btn-action-color-active</t>
  </si>
  <si>
    <t>Active text colour for Action button</t>
  </si>
  <si>
    <t>color-active</t>
  </si>
  <si>
    <t>btn-action-color-disabled</t>
  </si>
  <si>
    <t>Disabled text colour for Action button</t>
  </si>
  <si>
    <t>color-disabled</t>
  </si>
  <si>
    <t>btn-action-shadow</t>
  </si>
  <si>
    <t>Shadow for Action button</t>
  </si>
  <si>
    <t>btn-action-shadow-hover</t>
  </si>
  <si>
    <t>Hover shadow for Action button</t>
  </si>
  <si>
    <t>shadow-hover</t>
  </si>
  <si>
    <t>btn-action-shadow-active</t>
  </si>
  <si>
    <t>Active shadow for Action button</t>
  </si>
  <si>
    <t>shadow-active</t>
  </si>
  <si>
    <t>btn-action-radius</t>
  </si>
  <si>
    <t>Border radius for Action button</t>
  </si>
  <si>
    <t>0.25rem</t>
  </si>
  <si>
    <t>btn-action-padding-x</t>
  </si>
  <si>
    <t>Horizontal padding for Action button</t>
  </si>
  <si>
    <t>0.75rem</t>
  </si>
  <si>
    <t>spacing</t>
  </si>
  <si>
    <t>btn-action-padding-y</t>
  </si>
  <si>
    <t>Vertical padding for Action button</t>
  </si>
  <si>
    <t>btn-action-font-size</t>
  </si>
  <si>
    <t>Font size for Action button</t>
  </si>
  <si>
    <t>typography</t>
  </si>
  <si>
    <t>font-size</t>
  </si>
  <si>
    <t>btn-action-font-weight</t>
  </si>
  <si>
    <t>Font weight for Action button</t>
  </si>
  <si>
    <t>font-weight</t>
  </si>
  <si>
    <t>btn-action2-bg</t>
  </si>
  <si>
    <t>Background colour for Action button 2</t>
  </si>
  <si>
    <t>btn-action2-bg-hover</t>
  </si>
  <si>
    <t>Hover background colour for Action button 2</t>
  </si>
  <si>
    <t>btn-action2-bg-active</t>
  </si>
  <si>
    <t>Active background colour for Action button 2</t>
  </si>
  <si>
    <t>btn-action2-bg-disabled</t>
  </si>
  <si>
    <t>Disabled background colour for Action button 2</t>
  </si>
  <si>
    <t>btn-action2-border</t>
  </si>
  <si>
    <t>Border colour for Action button 2</t>
  </si>
  <si>
    <t>btn-action2-border-hover</t>
  </si>
  <si>
    <t>Hover border colour for Action button 2</t>
  </si>
  <si>
    <t>btn-action2-border-active</t>
  </si>
  <si>
    <t>Active border colour for Action button 2</t>
  </si>
  <si>
    <t>btn-action2-border-disabled</t>
  </si>
  <si>
    <t>Disabled border colour for Action button 2</t>
  </si>
  <si>
    <t>btn-action2-color</t>
  </si>
  <si>
    <t>Text colour for Action button 2</t>
  </si>
  <si>
    <t>btn-action2-color-hover</t>
  </si>
  <si>
    <t>Hover text colour for Action button 2</t>
  </si>
  <si>
    <t>btn-action2-color-active</t>
  </si>
  <si>
    <t>Active text colour for Action button 2</t>
  </si>
  <si>
    <t>btn-action2-color-disabled</t>
  </si>
  <si>
    <t>Disabled text colour for Action button 2</t>
  </si>
  <si>
    <t>btn-action2-shadow</t>
  </si>
  <si>
    <t>Shadow for Action button 2</t>
  </si>
  <si>
    <t>btn-action2-shadow-hover</t>
  </si>
  <si>
    <t>Hover shadow for Action button 2</t>
  </si>
  <si>
    <t>btn-action2-shadow-active</t>
  </si>
  <si>
    <t>Active shadow for Action button 2</t>
  </si>
  <si>
    <t>btn-action2-radius</t>
  </si>
  <si>
    <t>Border radius for Action button 2</t>
  </si>
  <si>
    <t>btn-action2-padding-x</t>
  </si>
  <si>
    <t>Horizontal padding for Action button 2</t>
  </si>
  <si>
    <t>btn-action2-padding-y</t>
  </si>
  <si>
    <t>Vertical padding for Action button 2</t>
  </si>
  <si>
    <t>btn-action2-font-size</t>
  </si>
  <si>
    <t>Font size for Action button 2</t>
  </si>
  <si>
    <t>btn-action2-font-weight</t>
  </si>
  <si>
    <t>Font weight for Action button 2</t>
  </si>
  <si>
    <t>btn-action3-bg</t>
  </si>
  <si>
    <t>Background colour for Action button 3</t>
  </si>
  <si>
    <t>btn-action3-bg-hover</t>
  </si>
  <si>
    <t>Hover background colour for Action button 3</t>
  </si>
  <si>
    <t>btn-action3-bg-active</t>
  </si>
  <si>
    <t>Active background colour for Action button 3</t>
  </si>
  <si>
    <t>btn-action3-bg-disabled</t>
  </si>
  <si>
    <t>Disabled background colour for Action button 3</t>
  </si>
  <si>
    <t>btn-action3-border</t>
  </si>
  <si>
    <t>Border colour for Action button 3</t>
  </si>
  <si>
    <t>btn-action3-border-hover</t>
  </si>
  <si>
    <t>Hover border colour for Action button 3</t>
  </si>
  <si>
    <t>btn-action3-border-active</t>
  </si>
  <si>
    <t>Active border colour for Action button 3</t>
  </si>
  <si>
    <t>btn-action3-border-disabled</t>
  </si>
  <si>
    <t>Disabled border colour for Action button 3</t>
  </si>
  <si>
    <t>btn-action3-color</t>
  </si>
  <si>
    <t>Text colour for Action button 3</t>
  </si>
  <si>
    <t>btn-action3-color-hover</t>
  </si>
  <si>
    <t>Hover text colour for Action button 3</t>
  </si>
  <si>
    <t>btn-action3-color-active</t>
  </si>
  <si>
    <t>Active text colour for Action button 3</t>
  </si>
  <si>
    <t>btn-action3-color-disabled</t>
  </si>
  <si>
    <t>Disabled text colour for Action button 3</t>
  </si>
  <si>
    <t>btn-action3-shadow</t>
  </si>
  <si>
    <t>Shadow for Action button 3</t>
  </si>
  <si>
    <t>btn-action3-shadow-hover</t>
  </si>
  <si>
    <t>Hover shadow for Action button 3</t>
  </si>
  <si>
    <t>btn-action3-shadow-active</t>
  </si>
  <si>
    <t>Active shadow for Action button 3</t>
  </si>
  <si>
    <t>btn-action3-radius</t>
  </si>
  <si>
    <t>Border radius for Action button 3</t>
  </si>
  <si>
    <t>btn-action3-padding-x</t>
  </si>
  <si>
    <t>Horizontal padding for Action button 3</t>
  </si>
  <si>
    <t>btn-action3-padding-y</t>
  </si>
  <si>
    <t>Vertical padding for Action button 3</t>
  </si>
  <si>
    <t>btn-action3-font-size</t>
  </si>
  <si>
    <t>Font size for Action button 3</t>
  </si>
  <si>
    <t>btn-action3-font-weight</t>
  </si>
  <si>
    <t>Font weight for Action button 3</t>
  </si>
  <si>
    <t>btn-action4-bg</t>
  </si>
  <si>
    <t>Background colour for Action button 4</t>
  </si>
  <si>
    <t>btn-action4-bg-hover</t>
  </si>
  <si>
    <t>Hover background colour for Action button 4</t>
  </si>
  <si>
    <t>btn-action4-bg-active</t>
  </si>
  <si>
    <t>Active background colour for Action button 4</t>
  </si>
  <si>
    <t>btn-action4-bg-disabled</t>
  </si>
  <si>
    <t>Disabled background colour for Action button 4</t>
  </si>
  <si>
    <t>btn-action4-border</t>
  </si>
  <si>
    <t>Border colour for Action button 4</t>
  </si>
  <si>
    <t>btn-action4-border-hover</t>
  </si>
  <si>
    <t>Hover border colour for Action button 4</t>
  </si>
  <si>
    <t>btn-action4-border-active</t>
  </si>
  <si>
    <t>Active border colour for Action button 4</t>
  </si>
  <si>
    <t>btn-action4-border-disabled</t>
  </si>
  <si>
    <t>Disabled border colour for Action button 4</t>
  </si>
  <si>
    <t>btn-action4-color</t>
  </si>
  <si>
    <t>Text colour for Action button 4</t>
  </si>
  <si>
    <t>btn-action4-color-hover</t>
  </si>
  <si>
    <t>Hover text colour for Action button 4</t>
  </si>
  <si>
    <t>btn-action4-color-active</t>
  </si>
  <si>
    <t>Active text colour for Action button 4</t>
  </si>
  <si>
    <t>btn-action4-color-disabled</t>
  </si>
  <si>
    <t>Disabled text colour for Action button 4</t>
  </si>
  <si>
    <t>btn-action4-shadow</t>
  </si>
  <si>
    <t>Shadow for Action button 4</t>
  </si>
  <si>
    <t>btn-action4-shadow-hover</t>
  </si>
  <si>
    <t>Hover shadow for Action button 4</t>
  </si>
  <si>
    <t>btn-action4-shadow-active</t>
  </si>
  <si>
    <t>Active shadow for Action button 4</t>
  </si>
  <si>
    <t>btn-action4-radius</t>
  </si>
  <si>
    <t>Border radius for Action button 4</t>
  </si>
  <si>
    <t>btn-action4-padding-x</t>
  </si>
  <si>
    <t>Horizontal padding for Action button 4</t>
  </si>
  <si>
    <t>btn-action4-padding-y</t>
  </si>
  <si>
    <t>Vertical padding for Action button 4</t>
  </si>
  <si>
    <t>btn-action4-font-size</t>
  </si>
  <si>
    <t>Font size for Action button 4</t>
  </si>
  <si>
    <t>btn-action4-font-weight</t>
  </si>
  <si>
    <t>Font weight for Action button 4</t>
  </si>
  <si>
    <t>btn-size-small-font-size</t>
  </si>
  <si>
    <t>Font size for Small button</t>
  </si>
  <si>
    <t>0.875rem</t>
  </si>
  <si>
    <t>small</t>
  </si>
  <si>
    <t>Button-Size-Small</t>
  </si>
  <si>
    <t>btn-size-small-line-height</t>
  </si>
  <si>
    <t>Line height for Small button</t>
  </si>
  <si>
    <t>btn-size-small-padding-x</t>
  </si>
  <si>
    <t>Horizontal padding for Small button</t>
  </si>
  <si>
    <t>btn-size-small-padding-y</t>
  </si>
  <si>
    <t>Vertical padding for Small button</t>
  </si>
  <si>
    <t>btn-size-small-border-radius</t>
  </si>
  <si>
    <t>Border radius for Small button</t>
  </si>
  <si>
    <t>border-radius</t>
  </si>
  <si>
    <t>btn-size-small-gap</t>
  </si>
  <si>
    <t>Gap between icon and text for Small button</t>
  </si>
  <si>
    <t>btn-size-small-icon-size</t>
  </si>
  <si>
    <t>Icon size for Small button</t>
  </si>
  <si>
    <t>14px</t>
  </si>
  <si>
    <t>btn-size-small-spinner-size</t>
  </si>
  <si>
    <t>Spinner size for Small button</t>
  </si>
  <si>
    <t>btn-size-small-min-width</t>
  </si>
  <si>
    <t>Minimum width for Small button</t>
  </si>
  <si>
    <t>auto</t>
  </si>
  <si>
    <t>min-width</t>
  </si>
  <si>
    <t>btn-size-small-height</t>
  </si>
  <si>
    <t>Height for Small button</t>
  </si>
  <si>
    <t>height</t>
  </si>
  <si>
    <t>btn-size-small-font-weight</t>
  </si>
  <si>
    <t>Font weight for Small button</t>
  </si>
  <si>
    <t>btn-size-small-letter-spacing</t>
  </si>
  <si>
    <t>Letter spacing for Small button</t>
  </si>
  <si>
    <t>letter-spacing</t>
  </si>
  <si>
    <t>btn-size-small-text-transform</t>
  </si>
  <si>
    <t>Text transform for Small button</t>
  </si>
  <si>
    <t>text-transform</t>
  </si>
  <si>
    <t>btn-size-small-outline</t>
  </si>
  <si>
    <t>Outline style for Small button</t>
  </si>
  <si>
    <t>btn-size-small-transition</t>
  </si>
  <si>
    <t>Transition style for Small button</t>
  </si>
  <si>
    <t>btn-size-small-focus-ring</t>
  </si>
  <si>
    <t>Focus ring for Small button</t>
  </si>
  <si>
    <t>0 0 0 3px rgba(0,0,0,0.15)</t>
  </si>
  <si>
    <t>btn-size-small-corner-radius-top-left</t>
  </si>
  <si>
    <t>Top-left corner radius for Small button</t>
  </si>
  <si>
    <t>corner-radius-top-left</t>
  </si>
  <si>
    <t>btn-size-small-corner-radius-top-right</t>
  </si>
  <si>
    <t>Top-right corner radius for Small button</t>
  </si>
  <si>
    <t>corner-radius-top-right</t>
  </si>
  <si>
    <t>btn-size-small-corner-radius-bottom-left</t>
  </si>
  <si>
    <t>Bottom-left corner radius for Small button</t>
  </si>
  <si>
    <t>corner-radius-bottom-left</t>
  </si>
  <si>
    <t>btn-size-small-corner-radius-bottom-right</t>
  </si>
  <si>
    <t>Bottom-right corner radius for Small button</t>
  </si>
  <si>
    <t>corner-radius-bottom-right</t>
  </si>
  <si>
    <t>btn-size-medium-font-size</t>
  </si>
  <si>
    <t>Font size for Medium button</t>
  </si>
  <si>
    <t>medium</t>
  </si>
  <si>
    <t>Button-Size-Medium</t>
  </si>
  <si>
    <t>btn-size-medium-line-height</t>
  </si>
  <si>
    <t>Line height for Medium button</t>
  </si>
  <si>
    <t>btn-size-medium-padding-x</t>
  </si>
  <si>
    <t>Horizontal padding for Medium button</t>
  </si>
  <si>
    <t>btn-size-medium-padding-y</t>
  </si>
  <si>
    <t>Vertical padding for Medium button</t>
  </si>
  <si>
    <t>btn-size-medium-border-radius</t>
  </si>
  <si>
    <t>Border radius for Medium button</t>
  </si>
  <si>
    <t>btn-size-medium-gap</t>
  </si>
  <si>
    <t>Gap between icon and text for Medium button</t>
  </si>
  <si>
    <t>btn-size-medium-icon-size</t>
  </si>
  <si>
    <t>Icon size for Medium button</t>
  </si>
  <si>
    <t>btn-size-medium-spinner-size</t>
  </si>
  <si>
    <t>Spinner size for Medium button</t>
  </si>
  <si>
    <t>btn-size-medium-min-width</t>
  </si>
  <si>
    <t>Minimum width for Medium button</t>
  </si>
  <si>
    <t>btn-size-medium-height</t>
  </si>
  <si>
    <t>Height for Medium button</t>
  </si>
  <si>
    <t>btn-size-medium-font-weight</t>
  </si>
  <si>
    <t>Font weight for Medium button</t>
  </si>
  <si>
    <t>btn-size-medium-letter-spacing</t>
  </si>
  <si>
    <t>Letter spacing for Medium button</t>
  </si>
  <si>
    <t>btn-size-medium-text-transform</t>
  </si>
  <si>
    <t>Text transform for Medium button</t>
  </si>
  <si>
    <t>btn-size-medium-outline</t>
  </si>
  <si>
    <t>Outline style for Medium button</t>
  </si>
  <si>
    <t>btn-size-medium-transition</t>
  </si>
  <si>
    <t>Transition style for Medium button</t>
  </si>
  <si>
    <t>btn-size-medium-focus-ring</t>
  </si>
  <si>
    <t>Focus ring for Medium button</t>
  </si>
  <si>
    <t>btn-size-medium-corner-radius-top-left</t>
  </si>
  <si>
    <t>Top-left corner radius for Medium button</t>
  </si>
  <si>
    <t>btn-size-medium-corner-radius-top-right</t>
  </si>
  <si>
    <t>Top-right corner radius for Medium button</t>
  </si>
  <si>
    <t>btn-size-medium-corner-radius-bottom-left</t>
  </si>
  <si>
    <t>Bottom-left corner radius for Medium button</t>
  </si>
  <si>
    <t>btn-size-medium-corner-radius-bottom-right</t>
  </si>
  <si>
    <t>Bottom-right corner radius for Medium button</t>
  </si>
  <si>
    <t>btn-size-large-font-size</t>
  </si>
  <si>
    <t>Font size for Large button</t>
  </si>
  <si>
    <t>1.125rem</t>
  </si>
  <si>
    <t>large</t>
  </si>
  <si>
    <t>Button-Size-Large</t>
  </si>
  <si>
    <t>btn-size-large-line-height</t>
  </si>
  <si>
    <t>Line height for Large button</t>
  </si>
  <si>
    <t>btn-size-large-padding-x</t>
  </si>
  <si>
    <t>Horizontal padding for Large button</t>
  </si>
  <si>
    <t>btn-size-large-padding-y</t>
  </si>
  <si>
    <t>Vertical padding for Large button</t>
  </si>
  <si>
    <t>10px</t>
  </si>
  <si>
    <t>btn-size-large-border-radius</t>
  </si>
  <si>
    <t>Border radius for Large button</t>
  </si>
  <si>
    <t>btn-size-large-gap</t>
  </si>
  <si>
    <t>Gap between icon and text for Large button</t>
  </si>
  <si>
    <t>btn-size-large-icon-size</t>
  </si>
  <si>
    <t>Icon size for Large button</t>
  </si>
  <si>
    <t>20px</t>
  </si>
  <si>
    <t>btn-size-large-spinner-size</t>
  </si>
  <si>
    <t>Spinner size for Large button</t>
  </si>
  <si>
    <t>btn-size-large-min-width</t>
  </si>
  <si>
    <t>Minimum width for Large button</t>
  </si>
  <si>
    <t>btn-size-large-height</t>
  </si>
  <si>
    <t>Height for Large button</t>
  </si>
  <si>
    <t>btn-size-large-font-weight</t>
  </si>
  <si>
    <t>Font weight for Large button</t>
  </si>
  <si>
    <t>btn-size-large-letter-spacing</t>
  </si>
  <si>
    <t>Letter spacing for Large button</t>
  </si>
  <si>
    <t>btn-size-large-text-transform</t>
  </si>
  <si>
    <t>Text transform for Large button</t>
  </si>
  <si>
    <t>btn-size-large-outline</t>
  </si>
  <si>
    <t>Outline style for Large button</t>
  </si>
  <si>
    <t>btn-size-large-transition</t>
  </si>
  <si>
    <t>Transition style for Large button</t>
  </si>
  <si>
    <t>btn-size-large-focus-ring</t>
  </si>
  <si>
    <t>Focus ring for Large button</t>
  </si>
  <si>
    <t>btn-size-large-corner-radius-top-left</t>
  </si>
  <si>
    <t>Top-left corner radius for Large button</t>
  </si>
  <si>
    <t>btn-size-large-corner-radius-top-right</t>
  </si>
  <si>
    <t>Top-right corner radius for Large button</t>
  </si>
  <si>
    <t>btn-size-large-corner-radius-bottom-left</t>
  </si>
  <si>
    <t>Bottom-left corner radius for Large button</t>
  </si>
  <si>
    <t>btn-size-large-corner-radius-bottom-right</t>
  </si>
  <si>
    <t>Bottom-right corner radius for Large button</t>
  </si>
  <si>
    <t>btn-size-xl-font-size</t>
  </si>
  <si>
    <t>Font size for Extra Large button</t>
  </si>
  <si>
    <t>1.25rem</t>
  </si>
  <si>
    <t>extra-large</t>
  </si>
  <si>
    <t>Button-Size-Extra-Large</t>
  </si>
  <si>
    <t>btn-size-xl-line-height</t>
  </si>
  <si>
    <t>Line height for Extra Large button</t>
  </si>
  <si>
    <t>btn-size-xl-padding-x</t>
  </si>
  <si>
    <t>Horizontal padding for Extra Large button</t>
  </si>
  <si>
    <t>btn-size-xl-padding-y</t>
  </si>
  <si>
    <t>Vertical padding for Extra Large button</t>
  </si>
  <si>
    <t>btn-size-xl-border-radius</t>
  </si>
  <si>
    <t>Border radius for Extra Large button</t>
  </si>
  <si>
    <t>btn-size-xl-gap</t>
  </si>
  <si>
    <t>Gap between icon and text for Extra Large button</t>
  </si>
  <si>
    <t>btn-size-xl-icon-size</t>
  </si>
  <si>
    <t>Icon size for Extra Large button</t>
  </si>
  <si>
    <t>24px</t>
  </si>
  <si>
    <t>btn-size-xl-spinner-size</t>
  </si>
  <si>
    <t>Spinner size for Extra Large button</t>
  </si>
  <si>
    <t>btn-size-xl-min-width</t>
  </si>
  <si>
    <t>Minimum width for Extra Large button</t>
  </si>
  <si>
    <t>btn-size-xl-height</t>
  </si>
  <si>
    <t>Height for Extra Large button</t>
  </si>
  <si>
    <t>btn-size-xl-font-weight</t>
  </si>
  <si>
    <t>Font weight for Extra Large button</t>
  </si>
  <si>
    <t>btn-size-xl-letter-spacing</t>
  </si>
  <si>
    <t>Letter spacing for Extra Large button</t>
  </si>
  <si>
    <t>btn-size-xl-text-transform</t>
  </si>
  <si>
    <t>Text transform for Extra Large button</t>
  </si>
  <si>
    <t>btn-size-xl-outline</t>
  </si>
  <si>
    <t>Outline style for Extra Large button</t>
  </si>
  <si>
    <t>btn-size-xl-transition</t>
  </si>
  <si>
    <t>Transition style for Extra Large button</t>
  </si>
  <si>
    <t>btn-size-xl-focus-ring</t>
  </si>
  <si>
    <t>Focus ring for Extra Large button</t>
  </si>
  <si>
    <t>btn-size-xl-corner-radius-top-left</t>
  </si>
  <si>
    <t>Top-left corner radius for Extra Large button</t>
  </si>
  <si>
    <t>btn-size-xl-corner-radius-top-right</t>
  </si>
  <si>
    <t>Top-right corner radius for Extra Large button</t>
  </si>
  <si>
    <t>btn-size-xl-corner-radius-bottom-left</t>
  </si>
  <si>
    <t>Bottom-left corner radius for Extra Large button</t>
  </si>
  <si>
    <t>btn-size-xl-corner-radius-bottom-right</t>
  </si>
  <si>
    <t>Bottom-right corner radius for Extra Large button</t>
  </si>
  <si>
    <t>btn-group-primary-group-bg</t>
  </si>
  <si>
    <t>Background for Primary Button Group</t>
  </si>
  <si>
    <t>group</t>
  </si>
  <si>
    <t>group-bg</t>
  </si>
  <si>
    <t>Group-Primary</t>
  </si>
  <si>
    <t>btn-group-primary-group-border</t>
  </si>
  <si>
    <t>Border for Primary Button Group</t>
  </si>
  <si>
    <t>group-border</t>
  </si>
  <si>
    <t>btn-group-primary-group-radius</t>
  </si>
  <si>
    <t>Radius for Primary Button Group</t>
  </si>
  <si>
    <t>group-radius</t>
  </si>
  <si>
    <t>btn-group-primary-group-padding-x</t>
  </si>
  <si>
    <t>Horizontal padding for Primary Button Group</t>
  </si>
  <si>
    <t>0px</t>
  </si>
  <si>
    <t>group-padding-x</t>
  </si>
  <si>
    <t>btn-group-primary-group-padding-y</t>
  </si>
  <si>
    <t>Vertical padding for Primary Button Group</t>
  </si>
  <si>
    <t>group-padding-y</t>
  </si>
  <si>
    <t>btn-group-primary-group-gap</t>
  </si>
  <si>
    <t>Gap between items in Primary Button Group</t>
  </si>
  <si>
    <t>group-gap</t>
  </si>
  <si>
    <t>btn-group-primary-active-bg</t>
  </si>
  <si>
    <t>Active background for Primary Button Group</t>
  </si>
  <si>
    <t>active-bg</t>
  </si>
  <si>
    <t>btn-group-primary-active-text</t>
  </si>
  <si>
    <t>Active text for Primary Button Group</t>
  </si>
  <si>
    <t>active-text</t>
  </si>
  <si>
    <t>btn-group-primary-active-border</t>
  </si>
  <si>
    <t>Active border for Primary Button Group</t>
  </si>
  <si>
    <t>active-border</t>
  </si>
  <si>
    <t>btn-group-primary-link-text</t>
  </si>
  <si>
    <t>Link text for Primary Button Group</t>
  </si>
  <si>
    <t>link-text</t>
  </si>
  <si>
    <t>btn-group-primary-link-hover-text</t>
  </si>
  <si>
    <t>Link hover text for Primary Button Group</t>
  </si>
  <si>
    <t>#495057</t>
  </si>
  <si>
    <t>link-hover-text</t>
  </si>
  <si>
    <t>btn-group-primary-link-border</t>
  </si>
  <si>
    <t>Link border for Primary Button Group</t>
  </si>
  <si>
    <t>link-border</t>
  </si>
  <si>
    <t>btn-group-primary-link-hover-border</t>
  </si>
  <si>
    <t>Link hover border for Primary Button Group</t>
  </si>
  <si>
    <t>link-hover-border</t>
  </si>
  <si>
    <t>btn-group-secondary-group-bg</t>
  </si>
  <si>
    <t>Background for Secondary Button Group</t>
  </si>
  <si>
    <t>Group-Secondary</t>
  </si>
  <si>
    <t>btn-group-secondary-group-border</t>
  </si>
  <si>
    <t>Border for Secondary Button Group</t>
  </si>
  <si>
    <t>btn-group-secondary-group-radius</t>
  </si>
  <si>
    <t>Radius for Secondary Button Group</t>
  </si>
  <si>
    <t>btn-group-secondary-group-padding-x</t>
  </si>
  <si>
    <t>Horizontal padding for Secondary Button Group</t>
  </si>
  <si>
    <t>btn-group-secondary-group-padding-y</t>
  </si>
  <si>
    <t>Vertical padding for Secondary Button Group</t>
  </si>
  <si>
    <t>btn-group-secondary-group-gap</t>
  </si>
  <si>
    <t>Gap between items in Secondary Button Group</t>
  </si>
  <si>
    <t>btn-group-secondary-active-bg</t>
  </si>
  <si>
    <t>Active background for Secondary Button Group</t>
  </si>
  <si>
    <t>btn-group-secondary-active-text</t>
  </si>
  <si>
    <t>Active text for Secondary Button Group</t>
  </si>
  <si>
    <t>btn-group-secondary-active-border</t>
  </si>
  <si>
    <t>Active border for Secondary Button Group</t>
  </si>
  <si>
    <t>btn-group-secondary-link-text</t>
  </si>
  <si>
    <t>Link text for Secondary Button Group</t>
  </si>
  <si>
    <t>btn-group-secondary-link-hover-text</t>
  </si>
  <si>
    <t>Link hover text for Secondary Button Group</t>
  </si>
  <si>
    <t>btn-group-secondary-link-border</t>
  </si>
  <si>
    <t>Link border for Secondary Button Group</t>
  </si>
  <si>
    <t>btn-group-secondary-link-hover-border</t>
  </si>
  <si>
    <t>Link hover border for Secondary Button Group</t>
  </si>
  <si>
    <t>btn-group-info-group-bg</t>
  </si>
  <si>
    <t>Background for Info Button Group</t>
  </si>
  <si>
    <t>Group-Info</t>
  </si>
  <si>
    <t>btn-group-info-group-border</t>
  </si>
  <si>
    <t>Border for Info Button Group</t>
  </si>
  <si>
    <t>btn-group-info-group-radius</t>
  </si>
  <si>
    <t>Radius for Info Button Group</t>
  </si>
  <si>
    <t>btn-group-info-group-padding-x</t>
  </si>
  <si>
    <t>Horizontal padding for Info Button Group</t>
  </si>
  <si>
    <t>btn-group-info-group-padding-y</t>
  </si>
  <si>
    <t>Vertical padding for Info Button Group</t>
  </si>
  <si>
    <t>btn-group-info-group-gap</t>
  </si>
  <si>
    <t>Gap between items in Info Button Group</t>
  </si>
  <si>
    <t>btn-group-info-active-bg</t>
  </si>
  <si>
    <t>Active background for Info Button Group</t>
  </si>
  <si>
    <t>btn-group-info-active-text</t>
  </si>
  <si>
    <t>Active text for Info Button Group</t>
  </si>
  <si>
    <t>btn-group-info-active-border</t>
  </si>
  <si>
    <t>Active border for Info Button Group</t>
  </si>
  <si>
    <t>btn-group-info-link-text</t>
  </si>
  <si>
    <t>Link text for Info Button Group</t>
  </si>
  <si>
    <t>btn-group-info-link-hover-text</t>
  </si>
  <si>
    <t>Link hover text for Info Button Group</t>
  </si>
  <si>
    <t>btn-group-info-link-border</t>
  </si>
  <si>
    <t>Link border for Info Button Group</t>
  </si>
  <si>
    <t>btn-group-info-link-hover-border</t>
  </si>
  <si>
    <t>Link hover border for Info Button Group</t>
  </si>
  <si>
    <t>btn-loading-success-outline-bg</t>
  </si>
  <si>
    <t>Background colour for Loading Success Outline button</t>
  </si>
  <si>
    <t>success-outline</t>
  </si>
  <si>
    <t>Loading-Success-Outline</t>
  </si>
  <si>
    <t>btn-loading-success-outline-text</t>
  </si>
  <si>
    <t>Text colour for Loading Success Outline button</t>
  </si>
  <si>
    <t>btn-loading-success-outline-border</t>
  </si>
  <si>
    <t>Border colour for Loading Success Outline button</t>
  </si>
  <si>
    <t>btn-loading-success-outline-hover-bg</t>
  </si>
  <si>
    <t>Hover background colour for Loading Success Outline button</t>
  </si>
  <si>
    <t>btn-loading-success-outline-hover-text</t>
  </si>
  <si>
    <t>Hover text colour for Loading Success Outline button</t>
  </si>
  <si>
    <t>btn-loading-success-outline-hover-border</t>
  </si>
  <si>
    <t>Hover border colour for Loading Success Outline button</t>
  </si>
  <si>
    <t>btn-loading-success-outline-disabled-bg</t>
  </si>
  <si>
    <t>Disabled background colour for Loading Success Outline button</t>
  </si>
  <si>
    <t>btn-loading-success-outline-disabled-text</t>
  </si>
  <si>
    <t>Disabled text colour for Loading Success Outline button</t>
  </si>
  <si>
    <t>btn-loading-success-outline-disabled-border</t>
  </si>
  <si>
    <t>Disabled border colour for Loading Success Outline button</t>
  </si>
  <si>
    <t>btn-loading-success-outline-spinner-color</t>
  </si>
  <si>
    <t>Spinner colour for Loading Success Outline button</t>
  </si>
  <si>
    <t>btn-loading-success-outline-spinner-size</t>
  </si>
  <si>
    <t>Spinner size for Loading Success Outline button</t>
  </si>
  <si>
    <t>btn-loading-success-outline-padding-x</t>
  </si>
  <si>
    <t>Horizontal padding for Loading Success Outline button</t>
  </si>
  <si>
    <t>btn-loading-success-outline-padding-y</t>
  </si>
  <si>
    <t>Vertical padding for Loading Success Outline button</t>
  </si>
  <si>
    <t>btn-loading-success-outline-gap</t>
  </si>
  <si>
    <t>Gap between spinner and text for Loading Success Outline button</t>
  </si>
  <si>
    <t>btn-loading-success-outline-focus-ring</t>
  </si>
  <si>
    <t>Focus ring style for Loading Success Outline button</t>
  </si>
  <si>
    <t>btn-loading-success-outline-outline</t>
  </si>
  <si>
    <t>Outline style for Loading Success Outline button</t>
  </si>
  <si>
    <t>btn-loading-success-outline-transition</t>
  </si>
  <si>
    <t>Transition style for Loading Success Outline button</t>
  </si>
  <si>
    <t>btn-loading-success-outline-icon-color</t>
  </si>
  <si>
    <t>Icon colour for Loading Success Outline button</t>
  </si>
  <si>
    <t>btn-loading-success-outline-icon-size</t>
  </si>
  <si>
    <t>Icon size for Loading Success Outline button</t>
  </si>
  <si>
    <t>btn-loading-success-outline-line-height</t>
  </si>
  <si>
    <t>Line height for Loading Success Outline button text</t>
  </si>
  <si>
    <t>btn-loading-danger-outline-bg</t>
  </si>
  <si>
    <t>Background colour for Loading Danger Outline button</t>
  </si>
  <si>
    <t>danger-outline</t>
  </si>
  <si>
    <t>Loading-Danger-Outline</t>
  </si>
  <si>
    <t>btn-loading-danger-outline-text</t>
  </si>
  <si>
    <t>Text colour for Loading Danger Outline button</t>
  </si>
  <si>
    <t>btn-loading-danger-outline-border</t>
  </si>
  <si>
    <t>Border colour for Loading Danger Outline button</t>
  </si>
  <si>
    <t>btn-loading-danger-outline-hover-bg</t>
  </si>
  <si>
    <t>Hover background colour for Loading Danger Outline button</t>
  </si>
  <si>
    <t>btn-loading-danger-outline-hover-text</t>
  </si>
  <si>
    <t>Hover text colour for Loading Danger Outline button</t>
  </si>
  <si>
    <t>btn-loading-danger-outline-hover-border</t>
  </si>
  <si>
    <t>Hover border colour for Loading Danger Outline button</t>
  </si>
  <si>
    <t>btn-loading-danger-outline-disabled-bg</t>
  </si>
  <si>
    <t>Disabled background colour for Loading Danger Outline button</t>
  </si>
  <si>
    <t>btn-loading-danger-outline-disabled-text</t>
  </si>
  <si>
    <t>Disabled text colour for Loading Danger Outline button</t>
  </si>
  <si>
    <t>btn-loading-danger-outline-disabled-border</t>
  </si>
  <si>
    <t>Disabled border colour for Loading Danger Outline button</t>
  </si>
  <si>
    <t>btn-loading-danger-outline-spinner-color</t>
  </si>
  <si>
    <t>Spinner colour for Loading Danger Outline button</t>
  </si>
  <si>
    <t>btn-loading-danger-outline-spinner-size</t>
  </si>
  <si>
    <t>Spinner size for Loading Danger Outline button</t>
  </si>
  <si>
    <t>btn-loading-danger-outline-padding-x</t>
  </si>
  <si>
    <t>Horizontal padding for Loading Danger Outline button</t>
  </si>
  <si>
    <t>btn-loading-danger-outline-padding-y</t>
  </si>
  <si>
    <t>Vertical padding for Loading Danger Outline button</t>
  </si>
  <si>
    <t>btn-loading-danger-outline-gap</t>
  </si>
  <si>
    <t>Gap between spinner and text for Loading Danger Outline button</t>
  </si>
  <si>
    <t>btn-loading-danger-outline-focus-ring</t>
  </si>
  <si>
    <t>Focus ring style for Loading Danger Outline button</t>
  </si>
  <si>
    <t>btn-loading-danger-outline-outline</t>
  </si>
  <si>
    <t>Outline style for Loading Danger Outline button</t>
  </si>
  <si>
    <t>btn-loading-danger-outline-transition</t>
  </si>
  <si>
    <t>Transition style for Loading Danger Outline button</t>
  </si>
  <si>
    <t>btn-loading-danger-outline-icon-color</t>
  </si>
  <si>
    <t>Icon colour for Loading Danger Outline button</t>
  </si>
  <si>
    <t>btn-loading-danger-outline-icon-size</t>
  </si>
  <si>
    <t>Icon size for Loading Danger Outline button</t>
  </si>
  <si>
    <t>btn-loading-danger-outline-line-height</t>
  </si>
  <si>
    <t>Line height for Loading Danger Outline button text</t>
  </si>
  <si>
    <t>btn-loading-warning-outline-bg</t>
  </si>
  <si>
    <t>Background colour for Loading Warning Outline button</t>
  </si>
  <si>
    <t>warning-outline</t>
  </si>
  <si>
    <t>Loading-Warning-Outline</t>
  </si>
  <si>
    <t>btn-loading-warning-outline-text</t>
  </si>
  <si>
    <t>Text colour for Loading Warning Outline button</t>
  </si>
  <si>
    <t>btn-loading-warning-outline-border</t>
  </si>
  <si>
    <t>Border colour for Loading Warning Outline button</t>
  </si>
  <si>
    <t>btn-loading-warning-outline-hover-bg</t>
  </si>
  <si>
    <t>Hover background colour for Loading Warning Outline button</t>
  </si>
  <si>
    <t>btn-loading-warning-outline-hover-text</t>
  </si>
  <si>
    <t>Hover text colour for Loading Warning Outline button</t>
  </si>
  <si>
    <t>btn-loading-warning-outline-hover-border</t>
  </si>
  <si>
    <t>Hover border colour for Loading Warning Outline button</t>
  </si>
  <si>
    <t>btn-loading-warning-outline-disabled-bg</t>
  </si>
  <si>
    <t>Disabled background colour for Loading Warning Outline button</t>
  </si>
  <si>
    <t>btn-loading-warning-outline-disabled-text</t>
  </si>
  <si>
    <t>Disabled text colour for Loading Warning Outline button</t>
  </si>
  <si>
    <t>btn-loading-warning-outline-disabled-border</t>
  </si>
  <si>
    <t>Disabled border colour for Loading Warning Outline button</t>
  </si>
  <si>
    <t>btn-loading-warning-outline-spinner-color</t>
  </si>
  <si>
    <t>Spinner colour for Loading Warning Outline button</t>
  </si>
  <si>
    <t>btn-loading-warning-outline-spinner-size</t>
  </si>
  <si>
    <t>Spinner size for Loading Warning Outline button</t>
  </si>
  <si>
    <t>btn-loading-warning-outline-padding-x</t>
  </si>
  <si>
    <t>Horizontal padding for Loading Warning Outline button</t>
  </si>
  <si>
    <t>btn-loading-warning-outline-padding-y</t>
  </si>
  <si>
    <t>Vertical padding for Loading Warning Outline button</t>
  </si>
  <si>
    <t>btn-loading-warning-outline-gap</t>
  </si>
  <si>
    <t>Gap between spinner and text for Loading Warning Outline button</t>
  </si>
  <si>
    <t>btn-loading-warning-outline-focus-ring</t>
  </si>
  <si>
    <t>Focus ring style for Loading Warning Outline button</t>
  </si>
  <si>
    <t>btn-loading-warning-outline-outline</t>
  </si>
  <si>
    <t>Outline style for Loading Warning Outline button</t>
  </si>
  <si>
    <t>btn-loading-warning-outline-transition</t>
  </si>
  <si>
    <t>Transition style for Loading Warning Outline button</t>
  </si>
  <si>
    <t>btn-loading-warning-outline-icon-color</t>
  </si>
  <si>
    <t>Icon colour for Loading Warning Outline button</t>
  </si>
  <si>
    <t>btn-loading-warning-outline-icon-size</t>
  </si>
  <si>
    <t>Icon size for Loading Warning Outline button</t>
  </si>
  <si>
    <t>btn-loading-warning-outline-line-height</t>
  </si>
  <si>
    <t>Line height for Loading Warning Outline button text</t>
  </si>
  <si>
    <t>btn-loading-info-outline-bg</t>
  </si>
  <si>
    <t>Background colour for Loading Info Outline button</t>
  </si>
  <si>
    <t>info-outline</t>
  </si>
  <si>
    <t>Loading-Info-Outline</t>
  </si>
  <si>
    <t>btn-loading-info-outline-text</t>
  </si>
  <si>
    <t>Text colour for Loading Info Outline button</t>
  </si>
  <si>
    <t>btn-loading-info-outline-border</t>
  </si>
  <si>
    <t>Border colour for Loading Info Outline button</t>
  </si>
  <si>
    <t>btn-loading-info-outline-hover-bg</t>
  </si>
  <si>
    <t>Hover background colour for Loading Info Outline button</t>
  </si>
  <si>
    <t>btn-loading-info-outline-hover-text</t>
  </si>
  <si>
    <t>Hover text colour for Loading Info Outline button</t>
  </si>
  <si>
    <t>btn-loading-info-outline-hover-border</t>
  </si>
  <si>
    <t>Hover border colour for Loading Info Outline button</t>
  </si>
  <si>
    <t>btn-loading-info-outline-disabled-bg</t>
  </si>
  <si>
    <t>Disabled background colour for Loading Info Outline button</t>
  </si>
  <si>
    <t>btn-loading-info-outline-disabled-text</t>
  </si>
  <si>
    <t>Disabled text colour for Loading Info Outline button</t>
  </si>
  <si>
    <t>btn-loading-info-outline-disabled-border</t>
  </si>
  <si>
    <t>Disabled border colour for Loading Info Outline button</t>
  </si>
  <si>
    <t>btn-loading-info-outline-spinner-color</t>
  </si>
  <si>
    <t>Spinner colour for Loading Info Outline button</t>
  </si>
  <si>
    <t>btn-loading-info-outline-spinner-size</t>
  </si>
  <si>
    <t>Spinner size for Loading Info Outline button</t>
  </si>
  <si>
    <t>btn-loading-info-outline-padding-x</t>
  </si>
  <si>
    <t>Horizontal padding for Loading Info Outline button</t>
  </si>
  <si>
    <t>btn-loading-info-outline-padding-y</t>
  </si>
  <si>
    <t>Vertical padding for Loading Info Outline button</t>
  </si>
  <si>
    <t>btn-loading-info-outline-gap</t>
  </si>
  <si>
    <t>Gap between spinner and text for Loading Info Outline button</t>
  </si>
  <si>
    <t>btn-loading-info-outline-focus-ring</t>
  </si>
  <si>
    <t>Focus ring style for Loading Info Outline button</t>
  </si>
  <si>
    <t>btn-loading-info-outline-outline</t>
  </si>
  <si>
    <t>Outline style for Loading Info Outline button</t>
  </si>
  <si>
    <t>btn-loading-info-outline-transition</t>
  </si>
  <si>
    <t>Transition style for Loading Info Outline button</t>
  </si>
  <si>
    <t>btn-loading-info-outline-icon-color</t>
  </si>
  <si>
    <t>Icon colour for Loading Info Outline button</t>
  </si>
  <si>
    <t>btn-loading-info-outline-icon-size</t>
  </si>
  <si>
    <t>Icon size for Loading Info Outline button</t>
  </si>
  <si>
    <t>btn-loading-info-outline-line-height</t>
  </si>
  <si>
    <t>Line height for Loading Info Outline button text</t>
  </si>
  <si>
    <t>btn-loading-light-outline-bg</t>
  </si>
  <si>
    <t>Background colour for Loading Light Outline button</t>
  </si>
  <si>
    <t>light-outline</t>
  </si>
  <si>
    <t>Loading-Light-Outline</t>
  </si>
  <si>
    <t>btn-loading-light-outline-text</t>
  </si>
  <si>
    <t>Text colour for Loading Light Outline button</t>
  </si>
  <si>
    <t>btn-loading-light-outline-border</t>
  </si>
  <si>
    <t>Border colour for Loading Light Outline button</t>
  </si>
  <si>
    <t>btn-loading-light-outline-hover-bg</t>
  </si>
  <si>
    <t>Hover background colour for Loading Light Outline button</t>
  </si>
  <si>
    <t>btn-loading-light-outline-hover-text</t>
  </si>
  <si>
    <t>Hover text colour for Loading Light Outline button</t>
  </si>
  <si>
    <t>btn-loading-light-outline-hover-border</t>
  </si>
  <si>
    <t>Hover border colour for Loading Light Outline button</t>
  </si>
  <si>
    <t>btn-loading-light-outline-disabled-bg</t>
  </si>
  <si>
    <t>Disabled background colour for Loading Light Outline button</t>
  </si>
  <si>
    <t>btn-loading-light-outline-disabled-text</t>
  </si>
  <si>
    <t>Disabled text colour for Loading Light Outline button</t>
  </si>
  <si>
    <t>btn-loading-light-outline-disabled-border</t>
  </si>
  <si>
    <t>Disabled border colour for Loading Light Outline button</t>
  </si>
  <si>
    <t>btn-loading-light-outline-spinner-color</t>
  </si>
  <si>
    <t>Spinner colour for Loading Light Outline button</t>
  </si>
  <si>
    <t>btn-loading-light-outline-spinner-size</t>
  </si>
  <si>
    <t>Spinner size for Loading Light Outline button</t>
  </si>
  <si>
    <t>btn-loading-light-outline-padding-x</t>
  </si>
  <si>
    <t>Horizontal padding for Loading Light Outline button</t>
  </si>
  <si>
    <t>btn-loading-light-outline-padding-y</t>
  </si>
  <si>
    <t>Vertical padding for Loading Light Outline button</t>
  </si>
  <si>
    <t>btn-loading-light-outline-gap</t>
  </si>
  <si>
    <t>Gap between spinner and text for Loading Light Outline button</t>
  </si>
  <si>
    <t>btn-loading-light-outline-focus-ring</t>
  </si>
  <si>
    <t>Focus ring style for Loading Light Outline button</t>
  </si>
  <si>
    <t>btn-loading-light-outline-outline</t>
  </si>
  <si>
    <t>Outline style for Loading Light Outline button</t>
  </si>
  <si>
    <t>btn-loading-light-outline-transition</t>
  </si>
  <si>
    <t>Transition style for Loading Light Outline button</t>
  </si>
  <si>
    <t>btn-loading-light-outline-icon-color</t>
  </si>
  <si>
    <t>Icon colour for Loading Light Outline button</t>
  </si>
  <si>
    <t>btn-loading-light-outline-icon-size</t>
  </si>
  <si>
    <t>Icon size for Loading Light Outline button</t>
  </si>
  <si>
    <t>btn-loading-light-outline-line-height</t>
  </si>
  <si>
    <t>Line height for Loading Light Outline button text</t>
  </si>
  <si>
    <t>btn-loading-dark-outline-bg</t>
  </si>
  <si>
    <t>Background colour for Loading Dark Outline button</t>
  </si>
  <si>
    <t>dark-outline</t>
  </si>
  <si>
    <t>Loading-Dark-Outline</t>
  </si>
  <si>
    <t>btn-loading-dark-outline-text</t>
  </si>
  <si>
    <t>Text colour for Loading Dark Outline button</t>
  </si>
  <si>
    <t>btn-loading-dark-outline-border</t>
  </si>
  <si>
    <t>Border colour for Loading Dark Outline button</t>
  </si>
  <si>
    <t>btn-loading-dark-outline-hover-bg</t>
  </si>
  <si>
    <t>Hover background colour for Loading Dark Outline button</t>
  </si>
  <si>
    <t>btn-loading-dark-outline-hover-text</t>
  </si>
  <si>
    <t>Hover text colour for Loading Dark Outline button</t>
  </si>
  <si>
    <t>btn-loading-dark-outline-hover-border</t>
  </si>
  <si>
    <t>Hover border colour for Loading Dark Outline button</t>
  </si>
  <si>
    <t>btn-loading-dark-outline-disabled-bg</t>
  </si>
  <si>
    <t>Disabled background colour for Loading Dark Outline button</t>
  </si>
  <si>
    <t>btn-loading-dark-outline-disabled-text</t>
  </si>
  <si>
    <t>Disabled text colour for Loading Dark Outline button</t>
  </si>
  <si>
    <t>btn-loading-dark-outline-disabled-border</t>
  </si>
  <si>
    <t>Disabled border colour for Loading Dark Outline button</t>
  </si>
  <si>
    <t>btn-loading-dark-outline-spinner-color</t>
  </si>
  <si>
    <t>Spinner colour for Loading Dark Outline button</t>
  </si>
  <si>
    <t>btn-loading-dark-outline-spinner-size</t>
  </si>
  <si>
    <t>Spinner size for Loading Dark Outline button</t>
  </si>
  <si>
    <t>btn-loading-dark-outline-padding-x</t>
  </si>
  <si>
    <t>Horizontal padding for Loading Dark Outline button</t>
  </si>
  <si>
    <t>btn-loading-dark-outline-padding-y</t>
  </si>
  <si>
    <t>Vertical padding for Loading Dark Outline button</t>
  </si>
  <si>
    <t>btn-loading-dark-outline-gap</t>
  </si>
  <si>
    <t>Gap between spinner and text for Loading Dark Outline button</t>
  </si>
  <si>
    <t>btn-loading-dark-outline-focus-ring</t>
  </si>
  <si>
    <t>Focus ring style for Loading Dark Outline button</t>
  </si>
  <si>
    <t>btn-loading-dark-outline-outline</t>
  </si>
  <si>
    <t>Outline style for Loading Dark Outline button</t>
  </si>
  <si>
    <t>btn-loading-dark-outline-transition</t>
  </si>
  <si>
    <t>Transition style for Loading Dark Outline button</t>
  </si>
  <si>
    <t>btn-loading-dark-outline-icon-color</t>
  </si>
  <si>
    <t>Icon colour for Loading Dark Outline button</t>
  </si>
  <si>
    <t>btn-loading-dark-outline-icon-size</t>
  </si>
  <si>
    <t>Icon size for Loading Dark Outline button</t>
  </si>
  <si>
    <t>btn-loading-dark-outline-line-height</t>
  </si>
  <si>
    <t>Line height for Loading Dark Outline button text</t>
  </si>
  <si>
    <t>No</t>
  </si>
  <si>
    <t>ID Range</t>
  </si>
  <si>
    <t>Button Groups</t>
  </si>
  <si>
    <t>Basic Buttons</t>
  </si>
  <si>
    <t>Outline Buttons</t>
  </si>
  <si>
    <t>Light / Soft Buttons</t>
  </si>
  <si>
    <t>Icon Buttons</t>
  </si>
  <si>
    <t>Social Buttons</t>
  </si>
  <si>
    <t>Radius Buttons</t>
  </si>
  <si>
    <t>Active Buttons</t>
  </si>
  <si>
    <t>Disabled Buttons</t>
  </si>
  <si>
    <t>Loading Buttons</t>
  </si>
  <si>
    <t>Block Buttons</t>
  </si>
  <si>
    <t>Button Sizes</t>
  </si>
  <si>
    <t>Actions 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</si>
</sst>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right" indent="1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Absence2\Data%20CSV\MySQL%20Export\designtokens26.xlsx" TargetMode="External"/><Relationship Id="rId1" Type="http://schemas.openxmlformats.org/officeDocument/2006/relationships/externalLinkPath" Target="designtokens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igntokens26"/>
      <sheetName val="Sheet1"/>
    </sheetNames>
    <sheetDataSet>
      <sheetData sheetId="0">
        <row r="1">
          <cell r="A1" t="str">
            <v>Id</v>
          </cell>
          <cell r="N1" t="str">
            <v>GroupName</v>
          </cell>
        </row>
        <row r="2">
          <cell r="A2">
            <v>1000000000</v>
          </cell>
          <cell r="N2" t="str">
            <v>Colors</v>
          </cell>
        </row>
        <row r="3">
          <cell r="A3">
            <v>2010101000</v>
          </cell>
          <cell r="N3" t="str">
            <v>Basic-Primary</v>
          </cell>
        </row>
        <row r="4">
          <cell r="A4">
            <v>2010101001</v>
          </cell>
          <cell r="N4" t="str">
            <v>Basic-Primary</v>
          </cell>
        </row>
        <row r="5">
          <cell r="A5">
            <v>2010101002</v>
          </cell>
          <cell r="N5" t="str">
            <v>Basic-Primary</v>
          </cell>
        </row>
        <row r="6">
          <cell r="A6">
            <v>2010101003</v>
          </cell>
          <cell r="N6" t="str">
            <v>Basic-Primary</v>
          </cell>
        </row>
        <row r="7">
          <cell r="A7">
            <v>2010101004</v>
          </cell>
          <cell r="N7" t="str">
            <v>Basic-Primary</v>
          </cell>
        </row>
        <row r="8">
          <cell r="A8">
            <v>2010101005</v>
          </cell>
          <cell r="N8" t="str">
            <v>Basic-Primary</v>
          </cell>
        </row>
        <row r="9">
          <cell r="A9">
            <v>2010101006</v>
          </cell>
          <cell r="N9" t="str">
            <v>Basic-Primary</v>
          </cell>
        </row>
        <row r="10">
          <cell r="A10">
            <v>2010101007</v>
          </cell>
          <cell r="N10" t="str">
            <v>Basic-Primary</v>
          </cell>
        </row>
        <row r="11">
          <cell r="A11">
            <v>2010101008</v>
          </cell>
          <cell r="N11" t="str">
            <v>Basic-Primary</v>
          </cell>
        </row>
        <row r="12">
          <cell r="A12">
            <v>2010101009</v>
          </cell>
          <cell r="N12" t="str">
            <v>Basic-Primary</v>
          </cell>
        </row>
        <row r="13">
          <cell r="A13">
            <v>2010101010</v>
          </cell>
          <cell r="N13" t="str">
            <v>Basic-Primary</v>
          </cell>
        </row>
        <row r="14">
          <cell r="A14">
            <v>2010101011</v>
          </cell>
          <cell r="N14" t="str">
            <v>Basic-Primary</v>
          </cell>
        </row>
        <row r="15">
          <cell r="A15">
            <v>2010101012</v>
          </cell>
          <cell r="N15" t="str">
            <v>Basic-Primary</v>
          </cell>
        </row>
        <row r="16">
          <cell r="A16">
            <v>2010101013</v>
          </cell>
          <cell r="N16" t="str">
            <v>Basic-Primary</v>
          </cell>
        </row>
        <row r="17">
          <cell r="A17">
            <v>2010101014</v>
          </cell>
          <cell r="N17" t="str">
            <v>Basic-Primary</v>
          </cell>
        </row>
        <row r="18">
          <cell r="A18">
            <v>2010101015</v>
          </cell>
          <cell r="N18" t="str">
            <v>Basic-Primary</v>
          </cell>
        </row>
        <row r="19">
          <cell r="A19">
            <v>2010101016</v>
          </cell>
          <cell r="N19" t="str">
            <v>Basic-Primary</v>
          </cell>
        </row>
        <row r="20">
          <cell r="A20">
            <v>2010101017</v>
          </cell>
          <cell r="N20" t="str">
            <v>Basic-Primary</v>
          </cell>
        </row>
        <row r="21">
          <cell r="A21">
            <v>2010101018</v>
          </cell>
          <cell r="N21" t="str">
            <v>Basic-Primary</v>
          </cell>
        </row>
        <row r="22">
          <cell r="A22">
            <v>2010101019</v>
          </cell>
          <cell r="N22" t="str">
            <v>Basic-Primary</v>
          </cell>
        </row>
        <row r="23">
          <cell r="A23">
            <v>2010101100</v>
          </cell>
          <cell r="N23" t="str">
            <v>Basic-Secondary</v>
          </cell>
        </row>
        <row r="24">
          <cell r="A24">
            <v>2010101101</v>
          </cell>
          <cell r="N24" t="str">
            <v>Basic-Secondary</v>
          </cell>
        </row>
        <row r="25">
          <cell r="A25">
            <v>2010101102</v>
          </cell>
          <cell r="N25" t="str">
            <v>Basic-Secondary</v>
          </cell>
        </row>
        <row r="26">
          <cell r="A26">
            <v>2010101103</v>
          </cell>
          <cell r="N26" t="str">
            <v>Basic-Secondary</v>
          </cell>
        </row>
        <row r="27">
          <cell r="A27">
            <v>2010101104</v>
          </cell>
          <cell r="N27" t="str">
            <v>Basic-Secondary</v>
          </cell>
        </row>
        <row r="28">
          <cell r="A28">
            <v>2010101105</v>
          </cell>
          <cell r="N28" t="str">
            <v>Basic-Secondary</v>
          </cell>
        </row>
        <row r="29">
          <cell r="A29">
            <v>2010101106</v>
          </cell>
          <cell r="N29" t="str">
            <v>Basic-Secondary</v>
          </cell>
        </row>
        <row r="30">
          <cell r="A30">
            <v>2010101107</v>
          </cell>
          <cell r="N30" t="str">
            <v>Basic-Secondary</v>
          </cell>
        </row>
        <row r="31">
          <cell r="A31">
            <v>2010101108</v>
          </cell>
          <cell r="N31" t="str">
            <v>Basic-Secondary</v>
          </cell>
        </row>
        <row r="32">
          <cell r="A32">
            <v>2010101200</v>
          </cell>
          <cell r="N32" t="str">
            <v>Basic-Success</v>
          </cell>
        </row>
        <row r="33">
          <cell r="A33">
            <v>2010101201</v>
          </cell>
          <cell r="N33" t="str">
            <v>Basic-Success</v>
          </cell>
        </row>
        <row r="34">
          <cell r="A34">
            <v>2010101202</v>
          </cell>
          <cell r="N34" t="str">
            <v>Basic-Success</v>
          </cell>
        </row>
        <row r="35">
          <cell r="A35">
            <v>2010101203</v>
          </cell>
          <cell r="N35" t="str">
            <v>Basic-Success</v>
          </cell>
        </row>
        <row r="36">
          <cell r="A36">
            <v>2010101204</v>
          </cell>
          <cell r="N36" t="str">
            <v>Basic-Success</v>
          </cell>
        </row>
        <row r="37">
          <cell r="A37">
            <v>2010101205</v>
          </cell>
          <cell r="N37" t="str">
            <v>Basic-Success</v>
          </cell>
        </row>
        <row r="38">
          <cell r="A38">
            <v>2010101206</v>
          </cell>
          <cell r="N38" t="str">
            <v>Basic-Success</v>
          </cell>
        </row>
        <row r="39">
          <cell r="A39">
            <v>2010101207</v>
          </cell>
          <cell r="N39" t="str">
            <v>Basic-Success</v>
          </cell>
        </row>
        <row r="40">
          <cell r="A40">
            <v>2010101208</v>
          </cell>
          <cell r="N40" t="str">
            <v>Basic-Success</v>
          </cell>
        </row>
        <row r="41">
          <cell r="A41">
            <v>2010101300</v>
          </cell>
          <cell r="N41" t="str">
            <v>Basic-Danger</v>
          </cell>
        </row>
        <row r="42">
          <cell r="A42">
            <v>2010101301</v>
          </cell>
          <cell r="N42" t="str">
            <v>Basic-Danger</v>
          </cell>
        </row>
        <row r="43">
          <cell r="A43">
            <v>2010101302</v>
          </cell>
          <cell r="N43" t="str">
            <v>Basic-Danger</v>
          </cell>
        </row>
        <row r="44">
          <cell r="A44">
            <v>2010101303</v>
          </cell>
          <cell r="N44" t="str">
            <v>Basic-Danger</v>
          </cell>
        </row>
        <row r="45">
          <cell r="A45">
            <v>2010101304</v>
          </cell>
          <cell r="N45" t="str">
            <v>Basic-Danger</v>
          </cell>
        </row>
        <row r="46">
          <cell r="A46">
            <v>2010101305</v>
          </cell>
          <cell r="N46" t="str">
            <v>Basic-Danger</v>
          </cell>
        </row>
        <row r="47">
          <cell r="A47">
            <v>2010101306</v>
          </cell>
          <cell r="N47" t="str">
            <v>Basic-Danger</v>
          </cell>
        </row>
        <row r="48">
          <cell r="A48">
            <v>2010101307</v>
          </cell>
          <cell r="N48" t="str">
            <v>Basic-Danger</v>
          </cell>
        </row>
        <row r="49">
          <cell r="A49">
            <v>2010101308</v>
          </cell>
          <cell r="N49" t="str">
            <v>Basic-Danger</v>
          </cell>
        </row>
        <row r="50">
          <cell r="A50">
            <v>2010101400</v>
          </cell>
          <cell r="N50" t="str">
            <v>Basic-Warning</v>
          </cell>
        </row>
        <row r="51">
          <cell r="A51">
            <v>2010101401</v>
          </cell>
          <cell r="N51" t="str">
            <v>Basic-Warning</v>
          </cell>
        </row>
        <row r="52">
          <cell r="A52">
            <v>2010101402</v>
          </cell>
          <cell r="N52" t="str">
            <v>Basic-Warning</v>
          </cell>
        </row>
        <row r="53">
          <cell r="A53">
            <v>2010101403</v>
          </cell>
          <cell r="N53" t="str">
            <v>Basic-Warning</v>
          </cell>
        </row>
        <row r="54">
          <cell r="A54">
            <v>2010101404</v>
          </cell>
          <cell r="N54" t="str">
            <v>Basic-Warning</v>
          </cell>
        </row>
        <row r="55">
          <cell r="A55">
            <v>2010101405</v>
          </cell>
          <cell r="N55" t="str">
            <v>Basic-Warning</v>
          </cell>
        </row>
        <row r="56">
          <cell r="A56">
            <v>2010101406</v>
          </cell>
          <cell r="N56" t="str">
            <v>Basic-Warning</v>
          </cell>
        </row>
        <row r="57">
          <cell r="A57">
            <v>2010101407</v>
          </cell>
          <cell r="N57" t="str">
            <v>Basic-Warning</v>
          </cell>
        </row>
        <row r="58">
          <cell r="A58">
            <v>2010101408</v>
          </cell>
          <cell r="N58" t="str">
            <v>Basic-Warning</v>
          </cell>
        </row>
        <row r="59">
          <cell r="A59">
            <v>2010101500</v>
          </cell>
          <cell r="N59" t="str">
            <v>Basic-Info</v>
          </cell>
        </row>
        <row r="60">
          <cell r="A60">
            <v>2010101501</v>
          </cell>
          <cell r="N60" t="str">
            <v>Basic-Info</v>
          </cell>
        </row>
        <row r="61">
          <cell r="A61">
            <v>2010101502</v>
          </cell>
          <cell r="N61" t="str">
            <v>Basic-Info</v>
          </cell>
        </row>
        <row r="62">
          <cell r="A62">
            <v>2010101503</v>
          </cell>
          <cell r="N62" t="str">
            <v>Basic-Info</v>
          </cell>
        </row>
        <row r="63">
          <cell r="A63">
            <v>2010101504</v>
          </cell>
          <cell r="N63" t="str">
            <v>Basic-Info</v>
          </cell>
        </row>
        <row r="64">
          <cell r="A64">
            <v>2010101505</v>
          </cell>
          <cell r="N64" t="str">
            <v>Basic-Info</v>
          </cell>
        </row>
        <row r="65">
          <cell r="A65">
            <v>2010101506</v>
          </cell>
          <cell r="N65" t="str">
            <v>Basic-Info</v>
          </cell>
        </row>
        <row r="66">
          <cell r="A66">
            <v>2010101507</v>
          </cell>
          <cell r="N66" t="str">
            <v>Basic-Info</v>
          </cell>
        </row>
        <row r="67">
          <cell r="A67">
            <v>2010101508</v>
          </cell>
          <cell r="N67" t="str">
            <v>Basic-Info</v>
          </cell>
        </row>
        <row r="68">
          <cell r="A68">
            <v>2010101600</v>
          </cell>
          <cell r="N68" t="str">
            <v>Basic-Light</v>
          </cell>
        </row>
        <row r="69">
          <cell r="A69">
            <v>2010101601</v>
          </cell>
          <cell r="N69" t="str">
            <v>Basic-Light</v>
          </cell>
        </row>
        <row r="70">
          <cell r="A70">
            <v>2010101602</v>
          </cell>
          <cell r="N70" t="str">
            <v>Basic-Light</v>
          </cell>
        </row>
        <row r="71">
          <cell r="A71">
            <v>2010101603</v>
          </cell>
          <cell r="N71" t="str">
            <v>Basic-Light</v>
          </cell>
        </row>
        <row r="72">
          <cell r="A72">
            <v>2010101604</v>
          </cell>
          <cell r="N72" t="str">
            <v>Basic-Light</v>
          </cell>
        </row>
        <row r="73">
          <cell r="A73">
            <v>2010101605</v>
          </cell>
          <cell r="N73" t="str">
            <v>Basic-Light</v>
          </cell>
        </row>
        <row r="74">
          <cell r="A74">
            <v>2010101606</v>
          </cell>
          <cell r="N74" t="str">
            <v>Basic-Light</v>
          </cell>
        </row>
        <row r="75">
          <cell r="A75">
            <v>2010101607</v>
          </cell>
          <cell r="N75" t="str">
            <v>Basic-Light</v>
          </cell>
        </row>
        <row r="76">
          <cell r="A76">
            <v>2010101608</v>
          </cell>
          <cell r="N76" t="str">
            <v>Basic-Light</v>
          </cell>
        </row>
        <row r="77">
          <cell r="A77">
            <v>2010101700</v>
          </cell>
          <cell r="N77" t="str">
            <v>Basic-Dark</v>
          </cell>
        </row>
        <row r="78">
          <cell r="A78">
            <v>2010101701</v>
          </cell>
          <cell r="N78" t="str">
            <v>Basic-Dark</v>
          </cell>
        </row>
        <row r="79">
          <cell r="A79">
            <v>2010101702</v>
          </cell>
          <cell r="N79" t="str">
            <v>Basic-Dark</v>
          </cell>
        </row>
        <row r="80">
          <cell r="A80">
            <v>2010101703</v>
          </cell>
          <cell r="N80" t="str">
            <v>Basic-Dark</v>
          </cell>
        </row>
        <row r="81">
          <cell r="A81">
            <v>2010101704</v>
          </cell>
          <cell r="N81" t="str">
            <v>Basic-Dark</v>
          </cell>
        </row>
        <row r="82">
          <cell r="A82">
            <v>2010101705</v>
          </cell>
          <cell r="N82" t="str">
            <v>Basic-Dark</v>
          </cell>
        </row>
        <row r="83">
          <cell r="A83">
            <v>2010101706</v>
          </cell>
          <cell r="N83" t="str">
            <v>Basic-Dark</v>
          </cell>
        </row>
        <row r="84">
          <cell r="A84">
            <v>2010101707</v>
          </cell>
          <cell r="N84" t="str">
            <v>Basic-Dark</v>
          </cell>
        </row>
        <row r="85">
          <cell r="A85">
            <v>2010101708</v>
          </cell>
          <cell r="N85" t="str">
            <v>Basic-Dark</v>
          </cell>
        </row>
        <row r="86">
          <cell r="A86">
            <v>2010101709</v>
          </cell>
          <cell r="N86" t="str">
            <v>Basic-Dark</v>
          </cell>
        </row>
        <row r="87">
          <cell r="A87">
            <v>2010101710</v>
          </cell>
          <cell r="N87" t="str">
            <v>Basic-Dark</v>
          </cell>
        </row>
        <row r="88">
          <cell r="A88">
            <v>2010101711</v>
          </cell>
          <cell r="N88" t="str">
            <v>Basic-Dark</v>
          </cell>
        </row>
        <row r="89">
          <cell r="A89">
            <v>2010101712</v>
          </cell>
          <cell r="N89" t="str">
            <v>Basic-Dark</v>
          </cell>
        </row>
        <row r="90">
          <cell r="A90">
            <v>2010101713</v>
          </cell>
          <cell r="N90" t="str">
            <v>Basic-Dark</v>
          </cell>
        </row>
        <row r="91">
          <cell r="A91">
            <v>2010101714</v>
          </cell>
          <cell r="N91" t="str">
            <v>Basic-Dark</v>
          </cell>
        </row>
        <row r="92">
          <cell r="A92">
            <v>2010102000</v>
          </cell>
          <cell r="N92" t="str">
            <v>Outline-Primary</v>
          </cell>
        </row>
        <row r="93">
          <cell r="A93">
            <v>2010102001</v>
          </cell>
          <cell r="N93" t="str">
            <v>Outline-Primary</v>
          </cell>
        </row>
        <row r="94">
          <cell r="A94">
            <v>2010102002</v>
          </cell>
          <cell r="N94" t="str">
            <v>Outline-Primary</v>
          </cell>
        </row>
        <row r="95">
          <cell r="A95">
            <v>2010102003</v>
          </cell>
          <cell r="N95" t="str">
            <v>Outline-Primary</v>
          </cell>
        </row>
        <row r="96">
          <cell r="A96">
            <v>2010102004</v>
          </cell>
          <cell r="N96" t="str">
            <v>Outline-Primary</v>
          </cell>
        </row>
        <row r="97">
          <cell r="A97">
            <v>2010102005</v>
          </cell>
          <cell r="N97" t="str">
            <v>Outline-Primary</v>
          </cell>
        </row>
        <row r="98">
          <cell r="A98">
            <v>2010102006</v>
          </cell>
          <cell r="N98" t="str">
            <v>Outline-Primary</v>
          </cell>
        </row>
        <row r="99">
          <cell r="A99">
            <v>2010102007</v>
          </cell>
          <cell r="N99" t="str">
            <v>Outline-Primary</v>
          </cell>
        </row>
        <row r="100">
          <cell r="A100">
            <v>2010102008</v>
          </cell>
          <cell r="N100" t="str">
            <v>Outline-Primary</v>
          </cell>
        </row>
        <row r="101">
          <cell r="A101">
            <v>2010102100</v>
          </cell>
          <cell r="N101" t="str">
            <v>Outline-Secondary</v>
          </cell>
        </row>
        <row r="102">
          <cell r="A102">
            <v>2010102101</v>
          </cell>
          <cell r="N102" t="str">
            <v>Outline-Secondary</v>
          </cell>
        </row>
        <row r="103">
          <cell r="A103">
            <v>2010102102</v>
          </cell>
          <cell r="N103" t="str">
            <v>Outline-Secondary</v>
          </cell>
        </row>
        <row r="104">
          <cell r="A104">
            <v>2010102103</v>
          </cell>
          <cell r="N104" t="str">
            <v>Outline-Secondary</v>
          </cell>
        </row>
        <row r="105">
          <cell r="A105">
            <v>2010102104</v>
          </cell>
          <cell r="N105" t="str">
            <v>Outline-Secondary</v>
          </cell>
        </row>
        <row r="106">
          <cell r="A106">
            <v>2010102105</v>
          </cell>
          <cell r="N106" t="str">
            <v>Outline-Secondary</v>
          </cell>
        </row>
        <row r="107">
          <cell r="A107">
            <v>2010102106</v>
          </cell>
          <cell r="N107" t="str">
            <v>Outline-Secondary</v>
          </cell>
        </row>
        <row r="108">
          <cell r="A108">
            <v>2010102107</v>
          </cell>
          <cell r="N108" t="str">
            <v>Outline-Secondary</v>
          </cell>
        </row>
        <row r="109">
          <cell r="A109">
            <v>2010102108</v>
          </cell>
          <cell r="N109" t="str">
            <v>Outline-Secondary</v>
          </cell>
        </row>
        <row r="110">
          <cell r="A110">
            <v>2010102200</v>
          </cell>
          <cell r="N110" t="str">
            <v>Outline-Success</v>
          </cell>
        </row>
        <row r="111">
          <cell r="A111">
            <v>2010102201</v>
          </cell>
          <cell r="N111" t="str">
            <v>Outline-Success</v>
          </cell>
        </row>
        <row r="112">
          <cell r="A112">
            <v>2010102202</v>
          </cell>
          <cell r="N112" t="str">
            <v>Outline-Success</v>
          </cell>
        </row>
        <row r="113">
          <cell r="A113">
            <v>2010102203</v>
          </cell>
          <cell r="N113" t="str">
            <v>Outline-Success</v>
          </cell>
        </row>
        <row r="114">
          <cell r="A114">
            <v>2010102204</v>
          </cell>
          <cell r="N114" t="str">
            <v>Outline-Success</v>
          </cell>
        </row>
        <row r="115">
          <cell r="A115">
            <v>2010102205</v>
          </cell>
          <cell r="N115" t="str">
            <v>Outline-Success</v>
          </cell>
        </row>
        <row r="116">
          <cell r="A116">
            <v>2010102206</v>
          </cell>
          <cell r="N116" t="str">
            <v>Outline-Success</v>
          </cell>
        </row>
        <row r="117">
          <cell r="A117">
            <v>2010102207</v>
          </cell>
          <cell r="N117" t="str">
            <v>Outline-Success</v>
          </cell>
        </row>
        <row r="118">
          <cell r="A118">
            <v>2010102208</v>
          </cell>
          <cell r="N118" t="str">
            <v>Outline-Success</v>
          </cell>
        </row>
        <row r="119">
          <cell r="A119">
            <v>2010102300</v>
          </cell>
          <cell r="N119" t="str">
            <v>Outline-Danger</v>
          </cell>
        </row>
        <row r="120">
          <cell r="A120">
            <v>2010102301</v>
          </cell>
          <cell r="N120" t="str">
            <v>Outline-Danger</v>
          </cell>
        </row>
        <row r="121">
          <cell r="A121">
            <v>2010102302</v>
          </cell>
          <cell r="N121" t="str">
            <v>Outline-Danger</v>
          </cell>
        </row>
        <row r="122">
          <cell r="A122">
            <v>2010102303</v>
          </cell>
          <cell r="N122" t="str">
            <v>Outline-Danger</v>
          </cell>
        </row>
        <row r="123">
          <cell r="A123">
            <v>2010102304</v>
          </cell>
          <cell r="N123" t="str">
            <v>Outline-Danger</v>
          </cell>
        </row>
        <row r="124">
          <cell r="A124">
            <v>2010102305</v>
          </cell>
          <cell r="N124" t="str">
            <v>Outline-Danger</v>
          </cell>
        </row>
        <row r="125">
          <cell r="A125">
            <v>2010102306</v>
          </cell>
          <cell r="N125" t="str">
            <v>Outline-Danger</v>
          </cell>
        </row>
        <row r="126">
          <cell r="A126">
            <v>2010102307</v>
          </cell>
          <cell r="N126" t="str">
            <v>Outline-Danger</v>
          </cell>
        </row>
        <row r="127">
          <cell r="A127">
            <v>2010102308</v>
          </cell>
          <cell r="N127" t="str">
            <v>Outline-Danger</v>
          </cell>
        </row>
        <row r="128">
          <cell r="A128">
            <v>2010102400</v>
          </cell>
          <cell r="N128" t="str">
            <v>Outline-Warning</v>
          </cell>
        </row>
        <row r="129">
          <cell r="A129">
            <v>2010102401</v>
          </cell>
          <cell r="N129" t="str">
            <v>Outline-Warning</v>
          </cell>
        </row>
        <row r="130">
          <cell r="A130">
            <v>2010102402</v>
          </cell>
          <cell r="N130" t="str">
            <v>Outline-Warning</v>
          </cell>
        </row>
        <row r="131">
          <cell r="A131">
            <v>2010102403</v>
          </cell>
          <cell r="N131" t="str">
            <v>Outline-Warning</v>
          </cell>
        </row>
        <row r="132">
          <cell r="A132">
            <v>2010102404</v>
          </cell>
          <cell r="N132" t="str">
            <v>Outline-Warning</v>
          </cell>
        </row>
        <row r="133">
          <cell r="A133">
            <v>2010102405</v>
          </cell>
          <cell r="N133" t="str">
            <v>Outline-Warning</v>
          </cell>
        </row>
        <row r="134">
          <cell r="A134">
            <v>2010102406</v>
          </cell>
          <cell r="N134" t="str">
            <v>Outline-Warning</v>
          </cell>
        </row>
        <row r="135">
          <cell r="A135">
            <v>2010102407</v>
          </cell>
          <cell r="N135" t="str">
            <v>Outline-Warning</v>
          </cell>
        </row>
        <row r="136">
          <cell r="A136">
            <v>2010102408</v>
          </cell>
          <cell r="N136" t="str">
            <v>Outline-Warning</v>
          </cell>
        </row>
        <row r="137">
          <cell r="A137">
            <v>2010102500</v>
          </cell>
          <cell r="N137" t="str">
            <v>Outline-Info</v>
          </cell>
        </row>
        <row r="138">
          <cell r="A138">
            <v>2010102501</v>
          </cell>
          <cell r="N138" t="str">
            <v>Outline-Info</v>
          </cell>
        </row>
        <row r="139">
          <cell r="A139">
            <v>2010102502</v>
          </cell>
          <cell r="N139" t="str">
            <v>Outline-Info</v>
          </cell>
        </row>
        <row r="140">
          <cell r="A140">
            <v>2010102503</v>
          </cell>
          <cell r="N140" t="str">
            <v>Outline-Info</v>
          </cell>
        </row>
        <row r="141">
          <cell r="A141">
            <v>2010102504</v>
          </cell>
          <cell r="N141" t="str">
            <v>Outline-Info</v>
          </cell>
        </row>
        <row r="142">
          <cell r="A142">
            <v>2010102505</v>
          </cell>
          <cell r="N142" t="str">
            <v>Outline-Info</v>
          </cell>
        </row>
        <row r="143">
          <cell r="A143">
            <v>2010102506</v>
          </cell>
          <cell r="N143" t="str">
            <v>Outline-Info</v>
          </cell>
        </row>
        <row r="144">
          <cell r="A144">
            <v>2010102507</v>
          </cell>
          <cell r="N144" t="str">
            <v>Outline-Info</v>
          </cell>
        </row>
        <row r="145">
          <cell r="A145">
            <v>2010102508</v>
          </cell>
          <cell r="N145" t="str">
            <v>Outline-Info</v>
          </cell>
        </row>
        <row r="146">
          <cell r="A146">
            <v>2010102600</v>
          </cell>
          <cell r="N146" t="str">
            <v>Outline-Light</v>
          </cell>
        </row>
        <row r="147">
          <cell r="A147">
            <v>2010102601</v>
          </cell>
          <cell r="N147" t="str">
            <v>Outline-Light</v>
          </cell>
        </row>
        <row r="148">
          <cell r="A148">
            <v>2010102602</v>
          </cell>
          <cell r="N148" t="str">
            <v>Outline-Light</v>
          </cell>
        </row>
        <row r="149">
          <cell r="A149">
            <v>2010102603</v>
          </cell>
          <cell r="N149" t="str">
            <v>Outline-Light</v>
          </cell>
        </row>
        <row r="150">
          <cell r="A150">
            <v>2010102604</v>
          </cell>
          <cell r="N150" t="str">
            <v>Outline-Light</v>
          </cell>
        </row>
        <row r="151">
          <cell r="A151">
            <v>2010102605</v>
          </cell>
          <cell r="N151" t="str">
            <v>Outline-Light</v>
          </cell>
        </row>
        <row r="152">
          <cell r="A152">
            <v>2010102606</v>
          </cell>
          <cell r="N152" t="str">
            <v>Outline-Light</v>
          </cell>
        </row>
        <row r="153">
          <cell r="A153">
            <v>2010102607</v>
          </cell>
          <cell r="N153" t="str">
            <v>Outline-Light</v>
          </cell>
        </row>
        <row r="154">
          <cell r="A154">
            <v>2010102608</v>
          </cell>
          <cell r="N154" t="str">
            <v>Outline-Light</v>
          </cell>
        </row>
        <row r="155">
          <cell r="A155">
            <v>2010103000</v>
          </cell>
          <cell r="N155" t="str">
            <v>Soft-Primary</v>
          </cell>
        </row>
        <row r="156">
          <cell r="A156">
            <v>2010103001</v>
          </cell>
          <cell r="N156" t="str">
            <v>Soft-Primary</v>
          </cell>
        </row>
        <row r="157">
          <cell r="A157">
            <v>2010103002</v>
          </cell>
          <cell r="N157" t="str">
            <v>Soft-Primary</v>
          </cell>
        </row>
        <row r="158">
          <cell r="A158">
            <v>2010103003</v>
          </cell>
          <cell r="N158" t="str">
            <v>Soft-Primary</v>
          </cell>
        </row>
        <row r="159">
          <cell r="A159">
            <v>2010103004</v>
          </cell>
          <cell r="N159" t="str">
            <v>Soft-Primary</v>
          </cell>
        </row>
        <row r="160">
          <cell r="A160">
            <v>2010103005</v>
          </cell>
          <cell r="N160" t="str">
            <v>Soft-Primary</v>
          </cell>
        </row>
        <row r="161">
          <cell r="A161">
            <v>2010103006</v>
          </cell>
          <cell r="N161" t="str">
            <v>Soft-Primary</v>
          </cell>
        </row>
        <row r="162">
          <cell r="A162">
            <v>2010103007</v>
          </cell>
          <cell r="N162" t="str">
            <v>Soft-Primary</v>
          </cell>
        </row>
        <row r="163">
          <cell r="A163">
            <v>2010103008</v>
          </cell>
          <cell r="N163" t="str">
            <v>Soft-Primary</v>
          </cell>
        </row>
        <row r="164">
          <cell r="A164">
            <v>2010103100</v>
          </cell>
          <cell r="N164" t="str">
            <v>Soft-Secondary</v>
          </cell>
        </row>
        <row r="165">
          <cell r="A165">
            <v>2010103101</v>
          </cell>
          <cell r="N165" t="str">
            <v>Soft-Secondary</v>
          </cell>
        </row>
        <row r="166">
          <cell r="A166">
            <v>2010103102</v>
          </cell>
          <cell r="N166" t="str">
            <v>Soft-Secondary</v>
          </cell>
        </row>
        <row r="167">
          <cell r="A167">
            <v>2010103103</v>
          </cell>
          <cell r="N167" t="str">
            <v>Soft-Secondary</v>
          </cell>
        </row>
        <row r="168">
          <cell r="A168">
            <v>2010103104</v>
          </cell>
          <cell r="N168" t="str">
            <v>Soft-Secondary</v>
          </cell>
        </row>
        <row r="169">
          <cell r="A169">
            <v>2010103105</v>
          </cell>
          <cell r="N169" t="str">
            <v>Soft-Secondary</v>
          </cell>
        </row>
        <row r="170">
          <cell r="A170">
            <v>2010103106</v>
          </cell>
          <cell r="N170" t="str">
            <v>Soft-Secondary</v>
          </cell>
        </row>
        <row r="171">
          <cell r="A171">
            <v>2010103107</v>
          </cell>
          <cell r="N171" t="str">
            <v>Soft-Secondary</v>
          </cell>
        </row>
        <row r="172">
          <cell r="A172">
            <v>2010103108</v>
          </cell>
          <cell r="N172" t="str">
            <v>Soft-Secondary</v>
          </cell>
        </row>
        <row r="173">
          <cell r="A173">
            <v>2010103200</v>
          </cell>
          <cell r="N173" t="str">
            <v>Soft-Success</v>
          </cell>
        </row>
        <row r="174">
          <cell r="A174">
            <v>2010103201</v>
          </cell>
          <cell r="N174" t="str">
            <v>Soft-Success</v>
          </cell>
        </row>
        <row r="175">
          <cell r="A175">
            <v>2010103202</v>
          </cell>
          <cell r="N175" t="str">
            <v>Soft-Success</v>
          </cell>
        </row>
        <row r="176">
          <cell r="A176">
            <v>2010103203</v>
          </cell>
          <cell r="N176" t="str">
            <v>Soft-Success</v>
          </cell>
        </row>
        <row r="177">
          <cell r="A177">
            <v>2010103204</v>
          </cell>
          <cell r="N177" t="str">
            <v>Soft-Success</v>
          </cell>
        </row>
        <row r="178">
          <cell r="A178">
            <v>2010103205</v>
          </cell>
          <cell r="N178" t="str">
            <v>Soft-Success</v>
          </cell>
        </row>
        <row r="179">
          <cell r="A179">
            <v>2010103206</v>
          </cell>
          <cell r="N179" t="str">
            <v>Soft-Success</v>
          </cell>
        </row>
        <row r="180">
          <cell r="A180">
            <v>2010103207</v>
          </cell>
          <cell r="N180" t="str">
            <v>Soft-Success</v>
          </cell>
        </row>
        <row r="181">
          <cell r="A181">
            <v>2010103208</v>
          </cell>
          <cell r="N181" t="str">
            <v>Soft-Success</v>
          </cell>
        </row>
        <row r="182">
          <cell r="A182">
            <v>2010103300</v>
          </cell>
          <cell r="N182" t="str">
            <v>Soft-Danger</v>
          </cell>
        </row>
        <row r="183">
          <cell r="A183">
            <v>2010103301</v>
          </cell>
          <cell r="N183" t="str">
            <v>Soft-Danger</v>
          </cell>
        </row>
        <row r="184">
          <cell r="A184">
            <v>2010103302</v>
          </cell>
          <cell r="N184" t="str">
            <v>Soft-Danger</v>
          </cell>
        </row>
        <row r="185">
          <cell r="A185">
            <v>2010103303</v>
          </cell>
          <cell r="N185" t="str">
            <v>Soft-Danger</v>
          </cell>
        </row>
        <row r="186">
          <cell r="A186">
            <v>2010103304</v>
          </cell>
          <cell r="N186" t="str">
            <v>Soft-Danger</v>
          </cell>
        </row>
        <row r="187">
          <cell r="A187">
            <v>2010103305</v>
          </cell>
          <cell r="N187" t="str">
            <v>Soft-Danger</v>
          </cell>
        </row>
        <row r="188">
          <cell r="A188">
            <v>2010103306</v>
          </cell>
          <cell r="N188" t="str">
            <v>Soft-Danger</v>
          </cell>
        </row>
        <row r="189">
          <cell r="A189">
            <v>2010103307</v>
          </cell>
          <cell r="N189" t="str">
            <v>Soft-Danger</v>
          </cell>
        </row>
        <row r="190">
          <cell r="A190">
            <v>2010103308</v>
          </cell>
          <cell r="N190" t="str">
            <v>Soft-Danger</v>
          </cell>
        </row>
        <row r="191">
          <cell r="A191">
            <v>2010103400</v>
          </cell>
          <cell r="N191" t="str">
            <v>Soft-Warning</v>
          </cell>
        </row>
        <row r="192">
          <cell r="A192">
            <v>2010103401</v>
          </cell>
          <cell r="N192" t="str">
            <v>Soft-Warning</v>
          </cell>
        </row>
        <row r="193">
          <cell r="A193">
            <v>2010103402</v>
          </cell>
          <cell r="N193" t="str">
            <v>Soft-Warning</v>
          </cell>
        </row>
        <row r="194">
          <cell r="A194">
            <v>2010103403</v>
          </cell>
          <cell r="N194" t="str">
            <v>Soft-Warning</v>
          </cell>
        </row>
        <row r="195">
          <cell r="A195">
            <v>2010103404</v>
          </cell>
          <cell r="N195" t="str">
            <v>Soft-Warning</v>
          </cell>
        </row>
        <row r="196">
          <cell r="A196">
            <v>2010103405</v>
          </cell>
          <cell r="N196" t="str">
            <v>Soft-Warning</v>
          </cell>
        </row>
        <row r="197">
          <cell r="A197">
            <v>2010103406</v>
          </cell>
          <cell r="N197" t="str">
            <v>Soft-Warning</v>
          </cell>
        </row>
        <row r="198">
          <cell r="A198">
            <v>2010103407</v>
          </cell>
          <cell r="N198" t="str">
            <v>Soft-Warning</v>
          </cell>
        </row>
        <row r="199">
          <cell r="A199">
            <v>2010103408</v>
          </cell>
          <cell r="N199" t="str">
            <v>Soft-Warning</v>
          </cell>
        </row>
        <row r="200">
          <cell r="A200">
            <v>2010103500</v>
          </cell>
          <cell r="N200" t="str">
            <v>Soft-Info</v>
          </cell>
        </row>
        <row r="201">
          <cell r="A201">
            <v>2010103501</v>
          </cell>
          <cell r="N201" t="str">
            <v>Soft-Info</v>
          </cell>
        </row>
        <row r="202">
          <cell r="A202">
            <v>2010103502</v>
          </cell>
          <cell r="N202" t="str">
            <v>Soft-Info</v>
          </cell>
        </row>
        <row r="203">
          <cell r="A203">
            <v>2010103503</v>
          </cell>
          <cell r="N203" t="str">
            <v>Soft-Info</v>
          </cell>
        </row>
        <row r="204">
          <cell r="A204">
            <v>2010103504</v>
          </cell>
          <cell r="N204" t="str">
            <v>Soft-Info</v>
          </cell>
        </row>
        <row r="205">
          <cell r="A205">
            <v>2010103505</v>
          </cell>
          <cell r="N205" t="str">
            <v>Soft-Info</v>
          </cell>
        </row>
        <row r="206">
          <cell r="A206">
            <v>2010103506</v>
          </cell>
          <cell r="N206" t="str">
            <v>Soft-Info</v>
          </cell>
        </row>
        <row r="207">
          <cell r="A207">
            <v>2010103507</v>
          </cell>
          <cell r="N207" t="str">
            <v>Soft-Info</v>
          </cell>
        </row>
        <row r="208">
          <cell r="A208">
            <v>2010103508</v>
          </cell>
          <cell r="N208" t="str">
            <v>Soft-Info</v>
          </cell>
        </row>
        <row r="209">
          <cell r="A209">
            <v>2010103600</v>
          </cell>
          <cell r="N209" t="str">
            <v>Soft-Light</v>
          </cell>
        </row>
        <row r="210">
          <cell r="A210">
            <v>2010103601</v>
          </cell>
          <cell r="N210" t="str">
            <v>Soft-Light</v>
          </cell>
        </row>
        <row r="211">
          <cell r="A211">
            <v>2010103602</v>
          </cell>
          <cell r="N211" t="str">
            <v>Soft-Light</v>
          </cell>
        </row>
        <row r="212">
          <cell r="A212">
            <v>2010103603</v>
          </cell>
          <cell r="N212" t="str">
            <v>Soft-Light</v>
          </cell>
        </row>
        <row r="213">
          <cell r="A213">
            <v>2010103604</v>
          </cell>
          <cell r="N213" t="str">
            <v>Soft-Light</v>
          </cell>
        </row>
        <row r="214">
          <cell r="A214">
            <v>2010103605</v>
          </cell>
          <cell r="N214" t="str">
            <v>Soft-Light</v>
          </cell>
        </row>
        <row r="215">
          <cell r="A215">
            <v>2010103606</v>
          </cell>
          <cell r="N215" t="str">
            <v>Soft-Light</v>
          </cell>
        </row>
        <row r="216">
          <cell r="A216">
            <v>2010103607</v>
          </cell>
          <cell r="N216" t="str">
            <v>Soft-Light</v>
          </cell>
        </row>
        <row r="217">
          <cell r="A217">
            <v>2010103608</v>
          </cell>
          <cell r="N217" t="str">
            <v>Soft-Light</v>
          </cell>
        </row>
        <row r="218">
          <cell r="A218">
            <v>2010104000</v>
          </cell>
          <cell r="N218" t="str">
            <v>Icon-Primary</v>
          </cell>
        </row>
        <row r="219">
          <cell r="A219">
            <v>2010104001</v>
          </cell>
          <cell r="N219" t="str">
            <v>Icon-Primary</v>
          </cell>
        </row>
        <row r="220">
          <cell r="A220">
            <v>2010104002</v>
          </cell>
          <cell r="N220" t="str">
            <v>Icon-Primary</v>
          </cell>
        </row>
        <row r="221">
          <cell r="A221">
            <v>2010104003</v>
          </cell>
          <cell r="N221" t="str">
            <v>Icon-Primary</v>
          </cell>
        </row>
        <row r="222">
          <cell r="A222">
            <v>2010104004</v>
          </cell>
          <cell r="N222" t="str">
            <v>Icon-Primary</v>
          </cell>
        </row>
        <row r="223">
          <cell r="A223">
            <v>2010104005</v>
          </cell>
          <cell r="N223" t="str">
            <v>Icon-Primary</v>
          </cell>
        </row>
        <row r="224">
          <cell r="A224">
            <v>2010104006</v>
          </cell>
          <cell r="N224" t="str">
            <v>Icon-Primary</v>
          </cell>
        </row>
        <row r="225">
          <cell r="A225">
            <v>2010104007</v>
          </cell>
          <cell r="N225" t="str">
            <v>Icon-Primary</v>
          </cell>
        </row>
        <row r="226">
          <cell r="A226">
            <v>2010104008</v>
          </cell>
          <cell r="N226" t="str">
            <v>Icon-Primary</v>
          </cell>
        </row>
        <row r="227">
          <cell r="A227">
            <v>2010104100</v>
          </cell>
          <cell r="N227" t="str">
            <v>Icon-Secondary</v>
          </cell>
        </row>
        <row r="228">
          <cell r="A228">
            <v>2010104101</v>
          </cell>
          <cell r="N228" t="str">
            <v>Icon-Secondary</v>
          </cell>
        </row>
        <row r="229">
          <cell r="A229">
            <v>2010104102</v>
          </cell>
          <cell r="N229" t="str">
            <v>Icon-Secondary</v>
          </cell>
        </row>
        <row r="230">
          <cell r="A230">
            <v>2010104103</v>
          </cell>
          <cell r="N230" t="str">
            <v>Icon-Secondary</v>
          </cell>
        </row>
        <row r="231">
          <cell r="A231">
            <v>2010104104</v>
          </cell>
          <cell r="N231" t="str">
            <v>Icon-Secondary</v>
          </cell>
        </row>
        <row r="232">
          <cell r="A232">
            <v>2010104105</v>
          </cell>
          <cell r="N232" t="str">
            <v>Icon-Secondary</v>
          </cell>
        </row>
        <row r="233">
          <cell r="A233">
            <v>2010104106</v>
          </cell>
          <cell r="N233" t="str">
            <v>Icon-Secondary</v>
          </cell>
        </row>
        <row r="234">
          <cell r="A234">
            <v>2010104107</v>
          </cell>
          <cell r="N234" t="str">
            <v>Icon-Secondary</v>
          </cell>
        </row>
        <row r="235">
          <cell r="A235">
            <v>2010104108</v>
          </cell>
          <cell r="N235" t="str">
            <v>Icon-Secondary</v>
          </cell>
        </row>
        <row r="236">
          <cell r="A236">
            <v>2010104200</v>
          </cell>
          <cell r="N236" t="str">
            <v>Icon-Success</v>
          </cell>
        </row>
        <row r="237">
          <cell r="A237">
            <v>2010104201</v>
          </cell>
          <cell r="N237" t="str">
            <v>Icon-Success</v>
          </cell>
        </row>
        <row r="238">
          <cell r="A238">
            <v>2010104202</v>
          </cell>
          <cell r="N238" t="str">
            <v>Icon-Success</v>
          </cell>
        </row>
        <row r="239">
          <cell r="A239">
            <v>2010104203</v>
          </cell>
          <cell r="N239" t="str">
            <v>Icon-Success</v>
          </cell>
        </row>
        <row r="240">
          <cell r="A240">
            <v>2010104204</v>
          </cell>
          <cell r="N240" t="str">
            <v>Icon-Success</v>
          </cell>
        </row>
        <row r="241">
          <cell r="A241">
            <v>2010104205</v>
          </cell>
          <cell r="N241" t="str">
            <v>Icon-Success</v>
          </cell>
        </row>
        <row r="242">
          <cell r="A242">
            <v>2010104206</v>
          </cell>
          <cell r="N242" t="str">
            <v>Icon-Success</v>
          </cell>
        </row>
        <row r="243">
          <cell r="A243">
            <v>2010104207</v>
          </cell>
          <cell r="N243" t="str">
            <v>Icon-Success</v>
          </cell>
        </row>
        <row r="244">
          <cell r="A244">
            <v>2010104208</v>
          </cell>
          <cell r="N244" t="str">
            <v>Icon-Success</v>
          </cell>
        </row>
        <row r="245">
          <cell r="A245">
            <v>2010104300</v>
          </cell>
          <cell r="N245" t="str">
            <v>Icon-Danger</v>
          </cell>
        </row>
        <row r="246">
          <cell r="A246">
            <v>2010104301</v>
          </cell>
          <cell r="N246" t="str">
            <v>Icon-Danger</v>
          </cell>
        </row>
        <row r="247">
          <cell r="A247">
            <v>2010104302</v>
          </cell>
          <cell r="N247" t="str">
            <v>Icon-Danger</v>
          </cell>
        </row>
        <row r="248">
          <cell r="A248">
            <v>2010104303</v>
          </cell>
          <cell r="N248" t="str">
            <v>Icon-Danger</v>
          </cell>
        </row>
        <row r="249">
          <cell r="A249">
            <v>2010104304</v>
          </cell>
          <cell r="N249" t="str">
            <v>Icon-Danger</v>
          </cell>
        </row>
        <row r="250">
          <cell r="A250">
            <v>2010104305</v>
          </cell>
          <cell r="N250" t="str">
            <v>Icon-Danger</v>
          </cell>
        </row>
        <row r="251">
          <cell r="A251">
            <v>2010104306</v>
          </cell>
          <cell r="N251" t="str">
            <v>Icon-Danger</v>
          </cell>
        </row>
        <row r="252">
          <cell r="A252">
            <v>2010104307</v>
          </cell>
          <cell r="N252" t="str">
            <v>Icon-Danger</v>
          </cell>
        </row>
        <row r="253">
          <cell r="A253">
            <v>2010104308</v>
          </cell>
          <cell r="N253" t="str">
            <v>Icon-Danger</v>
          </cell>
        </row>
        <row r="254">
          <cell r="A254">
            <v>2010104400</v>
          </cell>
          <cell r="N254" t="str">
            <v>Icon-Warning</v>
          </cell>
        </row>
        <row r="255">
          <cell r="A255">
            <v>2010104401</v>
          </cell>
          <cell r="N255" t="str">
            <v>Icon-Warning</v>
          </cell>
        </row>
        <row r="256">
          <cell r="A256">
            <v>2010104402</v>
          </cell>
          <cell r="N256" t="str">
            <v>Icon-Warning</v>
          </cell>
        </row>
        <row r="257">
          <cell r="A257">
            <v>2010104403</v>
          </cell>
          <cell r="N257" t="str">
            <v>Icon-Warning</v>
          </cell>
        </row>
        <row r="258">
          <cell r="A258">
            <v>2010104404</v>
          </cell>
          <cell r="N258" t="str">
            <v>Icon-Warning</v>
          </cell>
        </row>
        <row r="259">
          <cell r="A259">
            <v>2010104405</v>
          </cell>
          <cell r="N259" t="str">
            <v>Icon-Warning</v>
          </cell>
        </row>
        <row r="260">
          <cell r="A260">
            <v>2010104406</v>
          </cell>
          <cell r="N260" t="str">
            <v>Icon-Warning</v>
          </cell>
        </row>
        <row r="261">
          <cell r="A261">
            <v>2010104407</v>
          </cell>
          <cell r="N261" t="str">
            <v>Icon-Warning</v>
          </cell>
        </row>
        <row r="262">
          <cell r="A262">
            <v>2010104408</v>
          </cell>
          <cell r="N262" t="str">
            <v>Icon-Warning</v>
          </cell>
        </row>
        <row r="263">
          <cell r="A263">
            <v>2010104500</v>
          </cell>
          <cell r="N263" t="str">
            <v>Icon-Info</v>
          </cell>
        </row>
        <row r="264">
          <cell r="A264">
            <v>2010104501</v>
          </cell>
          <cell r="N264" t="str">
            <v>Icon-Info</v>
          </cell>
        </row>
        <row r="265">
          <cell r="A265">
            <v>2010104502</v>
          </cell>
          <cell r="N265" t="str">
            <v>Icon-Info</v>
          </cell>
        </row>
        <row r="266">
          <cell r="A266">
            <v>2010104503</v>
          </cell>
          <cell r="N266" t="str">
            <v>Icon-Info</v>
          </cell>
        </row>
        <row r="267">
          <cell r="A267">
            <v>2010104504</v>
          </cell>
          <cell r="N267" t="str">
            <v>Icon-Info</v>
          </cell>
        </row>
        <row r="268">
          <cell r="A268">
            <v>2010104505</v>
          </cell>
          <cell r="N268" t="str">
            <v>Icon-Info</v>
          </cell>
        </row>
        <row r="269">
          <cell r="A269">
            <v>2010104506</v>
          </cell>
          <cell r="N269" t="str">
            <v>Icon-Info</v>
          </cell>
        </row>
        <row r="270">
          <cell r="A270">
            <v>2010104507</v>
          </cell>
          <cell r="N270" t="str">
            <v>Icon-Info</v>
          </cell>
        </row>
        <row r="271">
          <cell r="A271">
            <v>2010104508</v>
          </cell>
          <cell r="N271" t="str">
            <v>Icon-Info</v>
          </cell>
        </row>
        <row r="272">
          <cell r="A272">
            <v>2010104600</v>
          </cell>
          <cell r="N272" t="str">
            <v>Icon-Light</v>
          </cell>
        </row>
        <row r="273">
          <cell r="A273">
            <v>2010104601</v>
          </cell>
          <cell r="N273" t="str">
            <v>Icon-Light</v>
          </cell>
        </row>
        <row r="274">
          <cell r="A274">
            <v>2010104602</v>
          </cell>
          <cell r="N274" t="str">
            <v>Icon-Light</v>
          </cell>
        </row>
        <row r="275">
          <cell r="A275">
            <v>2010104603</v>
          </cell>
          <cell r="N275" t="str">
            <v>Icon-Light</v>
          </cell>
        </row>
        <row r="276">
          <cell r="A276">
            <v>2010104604</v>
          </cell>
          <cell r="N276" t="str">
            <v>Icon-Light</v>
          </cell>
        </row>
        <row r="277">
          <cell r="A277">
            <v>2010104605</v>
          </cell>
          <cell r="N277" t="str">
            <v>Icon-Light</v>
          </cell>
        </row>
        <row r="278">
          <cell r="A278">
            <v>2010104606</v>
          </cell>
          <cell r="N278" t="str">
            <v>Icon-Light</v>
          </cell>
        </row>
        <row r="279">
          <cell r="A279">
            <v>2010104607</v>
          </cell>
          <cell r="N279" t="str">
            <v>Icon-Light</v>
          </cell>
        </row>
        <row r="280">
          <cell r="A280">
            <v>2010104608</v>
          </cell>
          <cell r="N280" t="str">
            <v>Icon-Light</v>
          </cell>
        </row>
        <row r="281">
          <cell r="A281">
            <v>2010104700</v>
          </cell>
          <cell r="N281" t="str">
            <v>Icon-Dark</v>
          </cell>
        </row>
        <row r="282">
          <cell r="A282">
            <v>2010104701</v>
          </cell>
          <cell r="N282" t="str">
            <v>Icon-Dark</v>
          </cell>
        </row>
        <row r="283">
          <cell r="A283">
            <v>2010104702</v>
          </cell>
          <cell r="N283" t="str">
            <v>Icon-Dark</v>
          </cell>
        </row>
        <row r="284">
          <cell r="A284">
            <v>2010104703</v>
          </cell>
          <cell r="N284" t="str">
            <v>Icon-Dark</v>
          </cell>
        </row>
        <row r="285">
          <cell r="A285">
            <v>2010104704</v>
          </cell>
          <cell r="N285" t="str">
            <v>Icon-Dark</v>
          </cell>
        </row>
        <row r="286">
          <cell r="A286">
            <v>2010104705</v>
          </cell>
          <cell r="N286" t="str">
            <v>Icon-Dark</v>
          </cell>
        </row>
        <row r="287">
          <cell r="A287">
            <v>2010104706</v>
          </cell>
          <cell r="N287" t="str">
            <v>Icon-Dark</v>
          </cell>
        </row>
        <row r="288">
          <cell r="A288">
            <v>2010104707</v>
          </cell>
          <cell r="N288" t="str">
            <v>Icon-Dark</v>
          </cell>
        </row>
        <row r="289">
          <cell r="A289">
            <v>2010104708</v>
          </cell>
          <cell r="N289" t="str">
            <v>Icon-Dark</v>
          </cell>
        </row>
        <row r="290">
          <cell r="A290">
            <v>2010105000</v>
          </cell>
          <cell r="N290" t="str">
            <v>Social-Facebook</v>
          </cell>
        </row>
        <row r="291">
          <cell r="A291">
            <v>2010105001</v>
          </cell>
          <cell r="N291" t="str">
            <v>Social-Facebook</v>
          </cell>
        </row>
        <row r="292">
          <cell r="A292">
            <v>2010105002</v>
          </cell>
          <cell r="N292" t="str">
            <v>Social-Facebook</v>
          </cell>
        </row>
        <row r="293">
          <cell r="A293">
            <v>2010105010</v>
          </cell>
          <cell r="N293" t="str">
            <v>Social-Twitter</v>
          </cell>
        </row>
        <row r="294">
          <cell r="A294">
            <v>2010105011</v>
          </cell>
          <cell r="N294" t="str">
            <v>Social-Twitter</v>
          </cell>
        </row>
        <row r="295">
          <cell r="A295">
            <v>2010105012</v>
          </cell>
          <cell r="N295" t="str">
            <v>Social-Twitter</v>
          </cell>
        </row>
        <row r="296">
          <cell r="A296">
            <v>2010105100</v>
          </cell>
          <cell r="N296" t="str">
            <v>Social-Instagram</v>
          </cell>
        </row>
        <row r="297">
          <cell r="A297">
            <v>2010105101</v>
          </cell>
          <cell r="N297" t="str">
            <v>Social-Instagram</v>
          </cell>
        </row>
        <row r="298">
          <cell r="A298">
            <v>2010105102</v>
          </cell>
          <cell r="N298" t="str">
            <v>Social-Instagram</v>
          </cell>
        </row>
        <row r="299">
          <cell r="A299">
            <v>2010105110</v>
          </cell>
          <cell r="N299" t="str">
            <v>Social-Linkedin</v>
          </cell>
        </row>
        <row r="300">
          <cell r="A300">
            <v>2010105111</v>
          </cell>
          <cell r="N300" t="str">
            <v>Social-Linkedin</v>
          </cell>
        </row>
        <row r="301">
          <cell r="A301">
            <v>2010105112</v>
          </cell>
          <cell r="N301" t="str">
            <v>Social-Linkedin</v>
          </cell>
        </row>
        <row r="302">
          <cell r="A302">
            <v>2010105200</v>
          </cell>
          <cell r="N302" t="str">
            <v>Social-Whatsapp</v>
          </cell>
        </row>
        <row r="303">
          <cell r="A303">
            <v>2010105201</v>
          </cell>
          <cell r="N303" t="str">
            <v>Social-Whatsapp</v>
          </cell>
        </row>
        <row r="304">
          <cell r="A304">
            <v>2010105202</v>
          </cell>
          <cell r="N304" t="str">
            <v>Social-Whatsapp</v>
          </cell>
        </row>
        <row r="305">
          <cell r="A305">
            <v>2010105210</v>
          </cell>
          <cell r="N305" t="str">
            <v>Social-Reddit</v>
          </cell>
        </row>
        <row r="306">
          <cell r="A306">
            <v>2010105211</v>
          </cell>
          <cell r="N306" t="str">
            <v>Social-Reddit</v>
          </cell>
        </row>
        <row r="307">
          <cell r="A307">
            <v>2010105212</v>
          </cell>
          <cell r="N307" t="str">
            <v>Social-Reddit</v>
          </cell>
        </row>
        <row r="308">
          <cell r="A308">
            <v>2010105300</v>
          </cell>
          <cell r="N308" t="str">
            <v>Social-Youtube</v>
          </cell>
        </row>
        <row r="309">
          <cell r="A309">
            <v>2010105301</v>
          </cell>
          <cell r="N309" t="str">
            <v>Social-Youtube</v>
          </cell>
        </row>
        <row r="310">
          <cell r="A310">
            <v>2010105302</v>
          </cell>
          <cell r="N310" t="str">
            <v>Social-Youtube</v>
          </cell>
        </row>
        <row r="311">
          <cell r="A311">
            <v>2010105310</v>
          </cell>
          <cell r="N311" t="str">
            <v>Social-Dribbble</v>
          </cell>
        </row>
        <row r="312">
          <cell r="A312">
            <v>2010105311</v>
          </cell>
          <cell r="N312" t="str">
            <v>Social-Dribbble</v>
          </cell>
        </row>
        <row r="313">
          <cell r="A313">
            <v>2010105312</v>
          </cell>
          <cell r="N313" t="str">
            <v>Social-Dribbble</v>
          </cell>
        </row>
        <row r="314">
          <cell r="A314">
            <v>2010105400</v>
          </cell>
          <cell r="N314" t="str">
            <v>Social-Snapchat</v>
          </cell>
        </row>
        <row r="315">
          <cell r="A315">
            <v>2010105401</v>
          </cell>
          <cell r="N315" t="str">
            <v>Social-Snapchat</v>
          </cell>
        </row>
        <row r="316">
          <cell r="A316">
            <v>2010105402</v>
          </cell>
          <cell r="N316" t="str">
            <v>Social-Snapchat</v>
          </cell>
        </row>
        <row r="317">
          <cell r="A317">
            <v>2010107000</v>
          </cell>
          <cell r="N317" t="str">
            <v>Radius-Primary</v>
          </cell>
        </row>
        <row r="318">
          <cell r="A318">
            <v>2010107001</v>
          </cell>
          <cell r="N318" t="str">
            <v>Radius-Primary</v>
          </cell>
        </row>
        <row r="319">
          <cell r="A319">
            <v>2010107002</v>
          </cell>
          <cell r="N319" t="str">
            <v>Radius-Primary</v>
          </cell>
        </row>
        <row r="320">
          <cell r="A320">
            <v>2010107003</v>
          </cell>
          <cell r="N320" t="str">
            <v>Radius-Primary</v>
          </cell>
        </row>
        <row r="321">
          <cell r="A321">
            <v>2010107004</v>
          </cell>
          <cell r="N321" t="str">
            <v>Radius-Primary</v>
          </cell>
        </row>
        <row r="322">
          <cell r="A322">
            <v>2010107005</v>
          </cell>
          <cell r="N322" t="str">
            <v>Radius-Primary</v>
          </cell>
        </row>
        <row r="323">
          <cell r="A323">
            <v>2010107006</v>
          </cell>
          <cell r="N323" t="str">
            <v>Radius-Primary</v>
          </cell>
        </row>
        <row r="324">
          <cell r="A324">
            <v>2010107007</v>
          </cell>
          <cell r="N324" t="str">
            <v>Radius-Primary</v>
          </cell>
        </row>
        <row r="325">
          <cell r="A325">
            <v>2010107008</v>
          </cell>
          <cell r="N325" t="str">
            <v>Radius-Primary</v>
          </cell>
        </row>
        <row r="326">
          <cell r="A326">
            <v>2010107009</v>
          </cell>
          <cell r="N326" t="str">
            <v>Radius-Primary</v>
          </cell>
        </row>
        <row r="327">
          <cell r="A327">
            <v>2010107010</v>
          </cell>
          <cell r="N327" t="str">
            <v>Radius-Primary</v>
          </cell>
        </row>
        <row r="328">
          <cell r="A328">
            <v>2010107011</v>
          </cell>
          <cell r="N328" t="str">
            <v>Radius-Primary</v>
          </cell>
        </row>
        <row r="329">
          <cell r="A329">
            <v>2010107012</v>
          </cell>
          <cell r="N329" t="str">
            <v>Radius-Primary</v>
          </cell>
        </row>
        <row r="330">
          <cell r="A330">
            <v>2010107013</v>
          </cell>
          <cell r="N330" t="str">
            <v>Radius-Primary</v>
          </cell>
        </row>
        <row r="331">
          <cell r="A331">
            <v>2010107014</v>
          </cell>
          <cell r="N331" t="str">
            <v>Radius-Primary</v>
          </cell>
        </row>
        <row r="332">
          <cell r="A332">
            <v>2010107015</v>
          </cell>
          <cell r="N332" t="str">
            <v>Radius-Primary</v>
          </cell>
        </row>
        <row r="333">
          <cell r="A333">
            <v>2010107016</v>
          </cell>
          <cell r="N333" t="str">
            <v>Radius-Primary</v>
          </cell>
        </row>
        <row r="334">
          <cell r="A334">
            <v>2010107017</v>
          </cell>
          <cell r="N334" t="str">
            <v>Radius-Primary</v>
          </cell>
        </row>
        <row r="335">
          <cell r="A335">
            <v>2010107018</v>
          </cell>
          <cell r="N335" t="str">
            <v>Radius-Primary</v>
          </cell>
        </row>
        <row r="336">
          <cell r="A336">
            <v>2010107100</v>
          </cell>
          <cell r="N336" t="str">
            <v>Radius-Secondary</v>
          </cell>
        </row>
        <row r="337">
          <cell r="A337">
            <v>2010107101</v>
          </cell>
          <cell r="N337" t="str">
            <v>Radius-Secondary</v>
          </cell>
        </row>
        <row r="338">
          <cell r="A338">
            <v>2010107102</v>
          </cell>
          <cell r="N338" t="str">
            <v>Radius-Secondary</v>
          </cell>
        </row>
        <row r="339">
          <cell r="A339">
            <v>2010107103</v>
          </cell>
          <cell r="N339" t="str">
            <v>Radius-Secondary</v>
          </cell>
        </row>
        <row r="340">
          <cell r="A340">
            <v>2010107104</v>
          </cell>
          <cell r="N340" t="str">
            <v>Radius-Secondary</v>
          </cell>
        </row>
        <row r="341">
          <cell r="A341">
            <v>2010107105</v>
          </cell>
          <cell r="N341" t="str">
            <v>Radius-Secondary</v>
          </cell>
        </row>
        <row r="342">
          <cell r="A342">
            <v>2010107106</v>
          </cell>
          <cell r="N342" t="str">
            <v>Radius-Secondary</v>
          </cell>
        </row>
        <row r="343">
          <cell r="A343">
            <v>2010107107</v>
          </cell>
          <cell r="N343" t="str">
            <v>Radius-Secondary</v>
          </cell>
        </row>
        <row r="344">
          <cell r="A344">
            <v>2010107108</v>
          </cell>
          <cell r="N344" t="str">
            <v>Radius-Secondary</v>
          </cell>
        </row>
        <row r="345">
          <cell r="A345">
            <v>2010107109</v>
          </cell>
          <cell r="N345" t="str">
            <v>Radius-Secondary</v>
          </cell>
        </row>
        <row r="346">
          <cell r="A346">
            <v>2010107110</v>
          </cell>
          <cell r="N346" t="str">
            <v>Radius-Secondary</v>
          </cell>
        </row>
        <row r="347">
          <cell r="A347">
            <v>2010107111</v>
          </cell>
          <cell r="N347" t="str">
            <v>Radius-Secondary</v>
          </cell>
        </row>
        <row r="348">
          <cell r="A348">
            <v>2010107112</v>
          </cell>
          <cell r="N348" t="str">
            <v>Radius-Secondary</v>
          </cell>
        </row>
        <row r="349">
          <cell r="A349">
            <v>2010107113</v>
          </cell>
          <cell r="N349" t="str">
            <v>Radius-Secondary</v>
          </cell>
        </row>
        <row r="350">
          <cell r="A350">
            <v>2010107114</v>
          </cell>
          <cell r="N350" t="str">
            <v>Radius-Secondary</v>
          </cell>
        </row>
        <row r="351">
          <cell r="A351">
            <v>2010107115</v>
          </cell>
          <cell r="N351" t="str">
            <v>Radius-Secondary</v>
          </cell>
        </row>
        <row r="352">
          <cell r="A352">
            <v>2010107116</v>
          </cell>
          <cell r="N352" t="str">
            <v>Radius-Secondary</v>
          </cell>
        </row>
        <row r="353">
          <cell r="A353">
            <v>2010107117</v>
          </cell>
          <cell r="N353" t="str">
            <v>Radius-Secondary</v>
          </cell>
        </row>
        <row r="354">
          <cell r="A354">
            <v>2010107118</v>
          </cell>
          <cell r="N354" t="str">
            <v>Radius-Secondary</v>
          </cell>
        </row>
        <row r="355">
          <cell r="A355">
            <v>2010107200</v>
          </cell>
          <cell r="N355" t="str">
            <v>Radius-Success</v>
          </cell>
        </row>
        <row r="356">
          <cell r="A356">
            <v>2010107201</v>
          </cell>
          <cell r="N356" t="str">
            <v>Radius-Success</v>
          </cell>
        </row>
        <row r="357">
          <cell r="A357">
            <v>2010107202</v>
          </cell>
          <cell r="N357" t="str">
            <v>Radius-Success</v>
          </cell>
        </row>
        <row r="358">
          <cell r="A358">
            <v>2010107203</v>
          </cell>
          <cell r="N358" t="str">
            <v>Radius-Success</v>
          </cell>
        </row>
        <row r="359">
          <cell r="A359">
            <v>2010107204</v>
          </cell>
          <cell r="N359" t="str">
            <v>Radius-Success</v>
          </cell>
        </row>
        <row r="360">
          <cell r="A360">
            <v>2010107205</v>
          </cell>
          <cell r="N360" t="str">
            <v>Radius-Success</v>
          </cell>
        </row>
        <row r="361">
          <cell r="A361">
            <v>2010107206</v>
          </cell>
          <cell r="N361" t="str">
            <v>Radius-Success</v>
          </cell>
        </row>
        <row r="362">
          <cell r="A362">
            <v>2010107207</v>
          </cell>
          <cell r="N362" t="str">
            <v>Radius-Success</v>
          </cell>
        </row>
        <row r="363">
          <cell r="A363">
            <v>2010107208</v>
          </cell>
          <cell r="N363" t="str">
            <v>Radius-Success</v>
          </cell>
        </row>
        <row r="364">
          <cell r="A364">
            <v>2010107209</v>
          </cell>
          <cell r="N364" t="str">
            <v>Radius-Success</v>
          </cell>
        </row>
        <row r="365">
          <cell r="A365">
            <v>2010107210</v>
          </cell>
          <cell r="N365" t="str">
            <v>Radius-Success</v>
          </cell>
        </row>
        <row r="366">
          <cell r="A366">
            <v>2010107211</v>
          </cell>
          <cell r="N366" t="str">
            <v>Radius-Success</v>
          </cell>
        </row>
        <row r="367">
          <cell r="A367">
            <v>2010107212</v>
          </cell>
          <cell r="N367" t="str">
            <v>Radius-Success</v>
          </cell>
        </row>
        <row r="368">
          <cell r="A368">
            <v>2010107213</v>
          </cell>
          <cell r="N368" t="str">
            <v>Radius-Success</v>
          </cell>
        </row>
        <row r="369">
          <cell r="A369">
            <v>2010107214</v>
          </cell>
          <cell r="N369" t="str">
            <v>Radius-Success</v>
          </cell>
        </row>
        <row r="370">
          <cell r="A370">
            <v>2010107215</v>
          </cell>
          <cell r="N370" t="str">
            <v>Radius-Success</v>
          </cell>
        </row>
        <row r="371">
          <cell r="A371">
            <v>2010107216</v>
          </cell>
          <cell r="N371" t="str">
            <v>Radius-Success</v>
          </cell>
        </row>
        <row r="372">
          <cell r="A372">
            <v>2010107217</v>
          </cell>
          <cell r="N372" t="str">
            <v>Radius-Success</v>
          </cell>
        </row>
        <row r="373">
          <cell r="A373">
            <v>2010107218</v>
          </cell>
          <cell r="N373" t="str">
            <v>Radius-Success</v>
          </cell>
        </row>
        <row r="374">
          <cell r="A374">
            <v>2010107300</v>
          </cell>
          <cell r="N374" t="str">
            <v>Radius-Danger</v>
          </cell>
        </row>
        <row r="375">
          <cell r="A375">
            <v>2010107301</v>
          </cell>
          <cell r="N375" t="str">
            <v>Radius-Danger</v>
          </cell>
        </row>
        <row r="376">
          <cell r="A376">
            <v>2010107302</v>
          </cell>
          <cell r="N376" t="str">
            <v>Radius-Danger</v>
          </cell>
        </row>
        <row r="377">
          <cell r="A377">
            <v>2010107303</v>
          </cell>
          <cell r="N377" t="str">
            <v>Radius-Danger</v>
          </cell>
        </row>
        <row r="378">
          <cell r="A378">
            <v>2010107304</v>
          </cell>
          <cell r="N378" t="str">
            <v>Radius-Danger</v>
          </cell>
        </row>
        <row r="379">
          <cell r="A379">
            <v>2010107305</v>
          </cell>
          <cell r="N379" t="str">
            <v>Radius-Danger</v>
          </cell>
        </row>
        <row r="380">
          <cell r="A380">
            <v>2010107306</v>
          </cell>
          <cell r="N380" t="str">
            <v>Radius-Danger</v>
          </cell>
        </row>
        <row r="381">
          <cell r="A381">
            <v>2010107307</v>
          </cell>
          <cell r="N381" t="str">
            <v>Radius-Danger</v>
          </cell>
        </row>
        <row r="382">
          <cell r="A382">
            <v>2010107308</v>
          </cell>
          <cell r="N382" t="str">
            <v>Radius-Danger</v>
          </cell>
        </row>
        <row r="383">
          <cell r="A383">
            <v>2010107309</v>
          </cell>
          <cell r="N383" t="str">
            <v>Radius-Danger</v>
          </cell>
        </row>
        <row r="384">
          <cell r="A384">
            <v>2010107310</v>
          </cell>
          <cell r="N384" t="str">
            <v>Radius-Danger</v>
          </cell>
        </row>
        <row r="385">
          <cell r="A385">
            <v>2010107311</v>
          </cell>
          <cell r="N385" t="str">
            <v>Radius-Danger</v>
          </cell>
        </row>
        <row r="386">
          <cell r="A386">
            <v>2010107312</v>
          </cell>
          <cell r="N386" t="str">
            <v>Radius-Danger</v>
          </cell>
        </row>
        <row r="387">
          <cell r="A387">
            <v>2010107313</v>
          </cell>
          <cell r="N387" t="str">
            <v>Radius-Danger</v>
          </cell>
        </row>
        <row r="388">
          <cell r="A388">
            <v>2010107314</v>
          </cell>
          <cell r="N388" t="str">
            <v>Radius-Danger</v>
          </cell>
        </row>
        <row r="389">
          <cell r="A389">
            <v>2010107315</v>
          </cell>
          <cell r="N389" t="str">
            <v>Radius-Danger</v>
          </cell>
        </row>
        <row r="390">
          <cell r="A390">
            <v>2010107316</v>
          </cell>
          <cell r="N390" t="str">
            <v>Radius-Danger</v>
          </cell>
        </row>
        <row r="391">
          <cell r="A391">
            <v>2010107317</v>
          </cell>
          <cell r="N391" t="str">
            <v>Radius-Danger</v>
          </cell>
        </row>
        <row r="392">
          <cell r="A392">
            <v>2010107318</v>
          </cell>
          <cell r="N392" t="str">
            <v>Radius-Danger</v>
          </cell>
        </row>
        <row r="393">
          <cell r="A393">
            <v>2010107400</v>
          </cell>
          <cell r="N393" t="str">
            <v>Radius-Warning</v>
          </cell>
        </row>
        <row r="394">
          <cell r="A394">
            <v>2010107401</v>
          </cell>
          <cell r="N394" t="str">
            <v>Radius-Warning</v>
          </cell>
        </row>
        <row r="395">
          <cell r="A395">
            <v>2010107402</v>
          </cell>
          <cell r="N395" t="str">
            <v>Radius-Warning</v>
          </cell>
        </row>
        <row r="396">
          <cell r="A396">
            <v>2010107403</v>
          </cell>
          <cell r="N396" t="str">
            <v>Radius-Warning</v>
          </cell>
        </row>
        <row r="397">
          <cell r="A397">
            <v>2010107404</v>
          </cell>
          <cell r="N397" t="str">
            <v>Radius-Warning</v>
          </cell>
        </row>
        <row r="398">
          <cell r="A398">
            <v>2010107405</v>
          </cell>
          <cell r="N398" t="str">
            <v>Radius-Warning</v>
          </cell>
        </row>
        <row r="399">
          <cell r="A399">
            <v>2010107406</v>
          </cell>
          <cell r="N399" t="str">
            <v>Radius-Warning</v>
          </cell>
        </row>
        <row r="400">
          <cell r="A400">
            <v>2010107407</v>
          </cell>
          <cell r="N400" t="str">
            <v>Radius-Warning</v>
          </cell>
        </row>
        <row r="401">
          <cell r="A401">
            <v>2010107408</v>
          </cell>
          <cell r="N401" t="str">
            <v>Radius-Warning</v>
          </cell>
        </row>
        <row r="402">
          <cell r="A402">
            <v>2010107409</v>
          </cell>
          <cell r="N402" t="str">
            <v>Radius-Warning</v>
          </cell>
        </row>
        <row r="403">
          <cell r="A403">
            <v>2010107410</v>
          </cell>
          <cell r="N403" t="str">
            <v>Radius-Warning</v>
          </cell>
        </row>
        <row r="404">
          <cell r="A404">
            <v>2010107411</v>
          </cell>
          <cell r="N404" t="str">
            <v>Radius-Warning</v>
          </cell>
        </row>
        <row r="405">
          <cell r="A405">
            <v>2010107412</v>
          </cell>
          <cell r="N405" t="str">
            <v>Radius-Warning</v>
          </cell>
        </row>
        <row r="406">
          <cell r="A406">
            <v>2010107413</v>
          </cell>
          <cell r="N406" t="str">
            <v>Radius-Warning</v>
          </cell>
        </row>
        <row r="407">
          <cell r="A407">
            <v>2010107414</v>
          </cell>
          <cell r="N407" t="str">
            <v>Radius-Warning</v>
          </cell>
        </row>
        <row r="408">
          <cell r="A408">
            <v>2010107415</v>
          </cell>
          <cell r="N408" t="str">
            <v>Radius-Warning</v>
          </cell>
        </row>
        <row r="409">
          <cell r="A409">
            <v>2010107416</v>
          </cell>
          <cell r="N409" t="str">
            <v>Radius-Warning</v>
          </cell>
        </row>
        <row r="410">
          <cell r="A410">
            <v>2010107417</v>
          </cell>
          <cell r="N410" t="str">
            <v>Radius-Warning</v>
          </cell>
        </row>
        <row r="411">
          <cell r="A411">
            <v>2010107418</v>
          </cell>
          <cell r="N411" t="str">
            <v>Radius-Warning</v>
          </cell>
        </row>
        <row r="412">
          <cell r="A412">
            <v>2010107500</v>
          </cell>
          <cell r="N412" t="str">
            <v>Radius-Info</v>
          </cell>
        </row>
        <row r="413">
          <cell r="A413">
            <v>2010107501</v>
          </cell>
          <cell r="N413" t="str">
            <v>Radius-Info</v>
          </cell>
        </row>
        <row r="414">
          <cell r="A414">
            <v>2010107502</v>
          </cell>
          <cell r="N414" t="str">
            <v>Radius-Info</v>
          </cell>
        </row>
        <row r="415">
          <cell r="A415">
            <v>2010107503</v>
          </cell>
          <cell r="N415" t="str">
            <v>Radius-Info</v>
          </cell>
        </row>
        <row r="416">
          <cell r="A416">
            <v>2010107504</v>
          </cell>
          <cell r="N416" t="str">
            <v>Radius-Info</v>
          </cell>
        </row>
        <row r="417">
          <cell r="A417">
            <v>2010107505</v>
          </cell>
          <cell r="N417" t="str">
            <v>Radius-Info</v>
          </cell>
        </row>
        <row r="418">
          <cell r="A418">
            <v>2010107506</v>
          </cell>
          <cell r="N418" t="str">
            <v>Radius-Info</v>
          </cell>
        </row>
        <row r="419">
          <cell r="A419">
            <v>2010107507</v>
          </cell>
          <cell r="N419" t="str">
            <v>Radius-Info</v>
          </cell>
        </row>
        <row r="420">
          <cell r="A420">
            <v>2010107508</v>
          </cell>
          <cell r="N420" t="str">
            <v>Radius-Info</v>
          </cell>
        </row>
        <row r="421">
          <cell r="A421">
            <v>2010107509</v>
          </cell>
          <cell r="N421" t="str">
            <v>Radius-Info</v>
          </cell>
        </row>
        <row r="422">
          <cell r="A422">
            <v>2010107510</v>
          </cell>
          <cell r="N422" t="str">
            <v>Radius-Info</v>
          </cell>
        </row>
        <row r="423">
          <cell r="A423">
            <v>2010107511</v>
          </cell>
          <cell r="N423" t="str">
            <v>Radius-Info</v>
          </cell>
        </row>
        <row r="424">
          <cell r="A424">
            <v>2010107512</v>
          </cell>
          <cell r="N424" t="str">
            <v>Radius-Info</v>
          </cell>
        </row>
        <row r="425">
          <cell r="A425">
            <v>2010107513</v>
          </cell>
          <cell r="N425" t="str">
            <v>Radius-Info</v>
          </cell>
        </row>
        <row r="426">
          <cell r="A426">
            <v>2010107514</v>
          </cell>
          <cell r="N426" t="str">
            <v>Radius-Info</v>
          </cell>
        </row>
        <row r="427">
          <cell r="A427">
            <v>2010107515</v>
          </cell>
          <cell r="N427" t="str">
            <v>Radius-Info</v>
          </cell>
        </row>
        <row r="428">
          <cell r="A428">
            <v>2010107516</v>
          </cell>
          <cell r="N428" t="str">
            <v>Radius-Info</v>
          </cell>
        </row>
        <row r="429">
          <cell r="A429">
            <v>2010107517</v>
          </cell>
          <cell r="N429" t="str">
            <v>Radius-Info</v>
          </cell>
        </row>
        <row r="430">
          <cell r="A430">
            <v>2010107518</v>
          </cell>
          <cell r="N430" t="str">
            <v>Radius-Info</v>
          </cell>
        </row>
        <row r="431">
          <cell r="A431">
            <v>2010107600</v>
          </cell>
          <cell r="N431" t="str">
            <v>Radius-Light</v>
          </cell>
        </row>
        <row r="432">
          <cell r="A432">
            <v>2010107601</v>
          </cell>
          <cell r="N432" t="str">
            <v>Radius-Light</v>
          </cell>
        </row>
        <row r="433">
          <cell r="A433">
            <v>2010107602</v>
          </cell>
          <cell r="N433" t="str">
            <v>Radius-Light</v>
          </cell>
        </row>
        <row r="434">
          <cell r="A434">
            <v>2010107603</v>
          </cell>
          <cell r="N434" t="str">
            <v>Radius-Light</v>
          </cell>
        </row>
        <row r="435">
          <cell r="A435">
            <v>2010107604</v>
          </cell>
          <cell r="N435" t="str">
            <v>Radius-Light</v>
          </cell>
        </row>
        <row r="436">
          <cell r="A436">
            <v>2010107605</v>
          </cell>
          <cell r="N436" t="str">
            <v>Radius-Light</v>
          </cell>
        </row>
        <row r="437">
          <cell r="A437">
            <v>2010107606</v>
          </cell>
          <cell r="N437" t="str">
            <v>Radius-Light</v>
          </cell>
        </row>
        <row r="438">
          <cell r="A438">
            <v>2010107607</v>
          </cell>
          <cell r="N438" t="str">
            <v>Radius-Light</v>
          </cell>
        </row>
        <row r="439">
          <cell r="A439">
            <v>2010107608</v>
          </cell>
          <cell r="N439" t="str">
            <v>Radius-Light</v>
          </cell>
        </row>
        <row r="440">
          <cell r="A440">
            <v>2010107609</v>
          </cell>
          <cell r="N440" t="str">
            <v>Radius-Light</v>
          </cell>
        </row>
        <row r="441">
          <cell r="A441">
            <v>2010107610</v>
          </cell>
          <cell r="N441" t="str">
            <v>Radius-Light</v>
          </cell>
        </row>
        <row r="442">
          <cell r="A442">
            <v>2010107611</v>
          </cell>
          <cell r="N442" t="str">
            <v>Radius-Light</v>
          </cell>
        </row>
        <row r="443">
          <cell r="A443">
            <v>2010107612</v>
          </cell>
          <cell r="N443" t="str">
            <v>Radius-Light</v>
          </cell>
        </row>
        <row r="444">
          <cell r="A444">
            <v>2010107613</v>
          </cell>
          <cell r="N444" t="str">
            <v>Radius-Light</v>
          </cell>
        </row>
        <row r="445">
          <cell r="A445">
            <v>2010107614</v>
          </cell>
          <cell r="N445" t="str">
            <v>Radius-Light</v>
          </cell>
        </row>
        <row r="446">
          <cell r="A446">
            <v>2010107615</v>
          </cell>
          <cell r="N446" t="str">
            <v>Radius-Light</v>
          </cell>
        </row>
        <row r="447">
          <cell r="A447">
            <v>2010107616</v>
          </cell>
          <cell r="N447" t="str">
            <v>Radius-Light</v>
          </cell>
        </row>
        <row r="448">
          <cell r="A448">
            <v>2010107617</v>
          </cell>
          <cell r="N448" t="str">
            <v>Radius-Light</v>
          </cell>
        </row>
        <row r="449">
          <cell r="A449">
            <v>2010107618</v>
          </cell>
          <cell r="N449" t="str">
            <v>Radius-Light</v>
          </cell>
        </row>
        <row r="450">
          <cell r="A450">
            <v>2010107700</v>
          </cell>
          <cell r="N450" t="str">
            <v>Radius-Dark</v>
          </cell>
        </row>
        <row r="451">
          <cell r="A451">
            <v>2010107701</v>
          </cell>
          <cell r="N451" t="str">
            <v>Radius-Dark</v>
          </cell>
        </row>
        <row r="452">
          <cell r="A452">
            <v>2010107702</v>
          </cell>
          <cell r="N452" t="str">
            <v>Radius-Dark</v>
          </cell>
        </row>
        <row r="453">
          <cell r="A453">
            <v>2010107703</v>
          </cell>
          <cell r="N453" t="str">
            <v>Radius-Dark</v>
          </cell>
        </row>
        <row r="454">
          <cell r="A454">
            <v>2010107704</v>
          </cell>
          <cell r="N454" t="str">
            <v>Radius-Dark</v>
          </cell>
        </row>
        <row r="455">
          <cell r="A455">
            <v>2010107705</v>
          </cell>
          <cell r="N455" t="str">
            <v>Radius-Dark</v>
          </cell>
        </row>
        <row r="456">
          <cell r="A456">
            <v>2010107706</v>
          </cell>
          <cell r="N456" t="str">
            <v>Radius-Dark</v>
          </cell>
        </row>
        <row r="457">
          <cell r="A457">
            <v>2010107707</v>
          </cell>
          <cell r="N457" t="str">
            <v>Radius-Dark</v>
          </cell>
        </row>
        <row r="458">
          <cell r="A458">
            <v>2010107708</v>
          </cell>
          <cell r="N458" t="str">
            <v>Radius-Dark</v>
          </cell>
        </row>
        <row r="459">
          <cell r="A459">
            <v>2010107709</v>
          </cell>
          <cell r="N459" t="str">
            <v>Radius-Dark</v>
          </cell>
        </row>
        <row r="460">
          <cell r="A460">
            <v>2010107710</v>
          </cell>
          <cell r="N460" t="str">
            <v>Radius-Dark</v>
          </cell>
        </row>
        <row r="461">
          <cell r="A461">
            <v>2010107711</v>
          </cell>
          <cell r="N461" t="str">
            <v>Radius-Dark</v>
          </cell>
        </row>
        <row r="462">
          <cell r="A462">
            <v>2010107712</v>
          </cell>
          <cell r="N462" t="str">
            <v>Radius-Dark</v>
          </cell>
        </row>
        <row r="463">
          <cell r="A463">
            <v>2010107713</v>
          </cell>
          <cell r="N463" t="str">
            <v>Radius-Dark</v>
          </cell>
        </row>
        <row r="464">
          <cell r="A464">
            <v>2010107714</v>
          </cell>
          <cell r="N464" t="str">
            <v>Radius-Dark</v>
          </cell>
        </row>
        <row r="465">
          <cell r="A465">
            <v>2010107715</v>
          </cell>
          <cell r="N465" t="str">
            <v>Radius-Dark</v>
          </cell>
        </row>
        <row r="466">
          <cell r="A466">
            <v>2010107716</v>
          </cell>
          <cell r="N466" t="str">
            <v>Radius-Dark</v>
          </cell>
        </row>
        <row r="467">
          <cell r="A467">
            <v>2010107717</v>
          </cell>
          <cell r="N467" t="str">
            <v>Radius-Dark</v>
          </cell>
        </row>
        <row r="468">
          <cell r="A468">
            <v>2010107718</v>
          </cell>
          <cell r="N468" t="str">
            <v>Radius-Dark</v>
          </cell>
        </row>
        <row r="469">
          <cell r="A469">
            <v>2010108000</v>
          </cell>
          <cell r="N469" t="str">
            <v>Active-Primary</v>
          </cell>
        </row>
        <row r="470">
          <cell r="A470">
            <v>2010108001</v>
          </cell>
          <cell r="N470" t="str">
            <v>Active-Primary</v>
          </cell>
        </row>
        <row r="471">
          <cell r="A471">
            <v>2010108002</v>
          </cell>
          <cell r="N471" t="str">
            <v>Active-Primary</v>
          </cell>
        </row>
        <row r="472">
          <cell r="A472">
            <v>2010108003</v>
          </cell>
          <cell r="N472" t="str">
            <v>Active-Primary</v>
          </cell>
        </row>
        <row r="473">
          <cell r="A473">
            <v>2010108004</v>
          </cell>
          <cell r="N473" t="str">
            <v>Active-Primary</v>
          </cell>
        </row>
        <row r="474">
          <cell r="A474">
            <v>2010108005</v>
          </cell>
          <cell r="N474" t="str">
            <v>Active-Primary</v>
          </cell>
        </row>
        <row r="475">
          <cell r="A475">
            <v>2010108006</v>
          </cell>
          <cell r="N475" t="str">
            <v>Active-Primary</v>
          </cell>
        </row>
        <row r="476">
          <cell r="A476">
            <v>2010108007</v>
          </cell>
          <cell r="N476" t="str">
            <v>Active-Primary</v>
          </cell>
        </row>
        <row r="477">
          <cell r="A477">
            <v>2010108008</v>
          </cell>
          <cell r="N477" t="str">
            <v>Active-Primary</v>
          </cell>
        </row>
        <row r="478">
          <cell r="A478">
            <v>2010108009</v>
          </cell>
          <cell r="N478" t="str">
            <v>Active-Primary</v>
          </cell>
        </row>
        <row r="479">
          <cell r="A479">
            <v>2010108010</v>
          </cell>
          <cell r="N479" t="str">
            <v>Active-Primary</v>
          </cell>
        </row>
        <row r="480">
          <cell r="A480">
            <v>2010108011</v>
          </cell>
          <cell r="N480" t="str">
            <v>Active-Primary</v>
          </cell>
        </row>
        <row r="481">
          <cell r="A481">
            <v>2010108012</v>
          </cell>
          <cell r="N481" t="str">
            <v>Active-Primary</v>
          </cell>
        </row>
        <row r="482">
          <cell r="A482">
            <v>2010108013</v>
          </cell>
          <cell r="N482" t="str">
            <v>Active-Primary</v>
          </cell>
        </row>
        <row r="483">
          <cell r="A483">
            <v>2010108014</v>
          </cell>
          <cell r="N483" t="str">
            <v>Active-Primary</v>
          </cell>
        </row>
        <row r="484">
          <cell r="A484">
            <v>2010108015</v>
          </cell>
          <cell r="N484" t="str">
            <v>Active-Primary</v>
          </cell>
        </row>
        <row r="485">
          <cell r="A485">
            <v>2010108016</v>
          </cell>
          <cell r="N485" t="str">
            <v>Active-Primary</v>
          </cell>
        </row>
        <row r="486">
          <cell r="A486">
            <v>2010108017</v>
          </cell>
          <cell r="N486" t="str">
            <v>Active-Primary</v>
          </cell>
        </row>
        <row r="487">
          <cell r="A487">
            <v>2010108018</v>
          </cell>
          <cell r="N487" t="str">
            <v>Active-Primary</v>
          </cell>
        </row>
        <row r="488">
          <cell r="A488">
            <v>2010108019</v>
          </cell>
          <cell r="N488" t="str">
            <v>Active-Primary</v>
          </cell>
        </row>
        <row r="489">
          <cell r="A489">
            <v>2010108100</v>
          </cell>
          <cell r="N489" t="str">
            <v>Active-Secondary</v>
          </cell>
        </row>
        <row r="490">
          <cell r="A490">
            <v>2010108101</v>
          </cell>
          <cell r="N490" t="str">
            <v>Active-Secondary</v>
          </cell>
        </row>
        <row r="491">
          <cell r="A491">
            <v>2010108102</v>
          </cell>
          <cell r="N491" t="str">
            <v>Active-Secondary</v>
          </cell>
        </row>
        <row r="492">
          <cell r="A492">
            <v>2010108103</v>
          </cell>
          <cell r="N492" t="str">
            <v>Active-Secondary</v>
          </cell>
        </row>
        <row r="493">
          <cell r="A493">
            <v>2010108104</v>
          </cell>
          <cell r="N493" t="str">
            <v>Active-Secondary</v>
          </cell>
        </row>
        <row r="494">
          <cell r="A494">
            <v>2010108105</v>
          </cell>
          <cell r="N494" t="str">
            <v>Active-Secondary</v>
          </cell>
        </row>
        <row r="495">
          <cell r="A495">
            <v>2010108106</v>
          </cell>
          <cell r="N495" t="str">
            <v>Active-Secondary</v>
          </cell>
        </row>
        <row r="496">
          <cell r="A496">
            <v>2010108107</v>
          </cell>
          <cell r="N496" t="str">
            <v>Active-Secondary</v>
          </cell>
        </row>
        <row r="497">
          <cell r="A497">
            <v>2010108108</v>
          </cell>
          <cell r="N497" t="str">
            <v>Active-Secondary</v>
          </cell>
        </row>
        <row r="498">
          <cell r="A498">
            <v>2010108109</v>
          </cell>
          <cell r="N498" t="str">
            <v>Active-Secondary</v>
          </cell>
        </row>
        <row r="499">
          <cell r="A499">
            <v>2010108110</v>
          </cell>
          <cell r="N499" t="str">
            <v>Active-Secondary</v>
          </cell>
        </row>
        <row r="500">
          <cell r="A500">
            <v>2010108111</v>
          </cell>
          <cell r="N500" t="str">
            <v>Active-Secondary</v>
          </cell>
        </row>
        <row r="501">
          <cell r="A501">
            <v>2010108112</v>
          </cell>
          <cell r="N501" t="str">
            <v>Active-Secondary</v>
          </cell>
        </row>
        <row r="502">
          <cell r="A502">
            <v>2010108113</v>
          </cell>
          <cell r="N502" t="str">
            <v>Active-Secondary</v>
          </cell>
        </row>
        <row r="503">
          <cell r="A503">
            <v>2010108114</v>
          </cell>
          <cell r="N503" t="str">
            <v>Active-Secondary</v>
          </cell>
        </row>
        <row r="504">
          <cell r="A504">
            <v>2010108115</v>
          </cell>
          <cell r="N504" t="str">
            <v>Active-Secondary</v>
          </cell>
        </row>
        <row r="505">
          <cell r="A505">
            <v>2010108116</v>
          </cell>
          <cell r="N505" t="str">
            <v>Active-Secondary</v>
          </cell>
        </row>
        <row r="506">
          <cell r="A506">
            <v>2010108117</v>
          </cell>
          <cell r="N506" t="str">
            <v>Active-Secondary</v>
          </cell>
        </row>
        <row r="507">
          <cell r="A507">
            <v>2010108118</v>
          </cell>
          <cell r="N507" t="str">
            <v>Active-Secondary</v>
          </cell>
        </row>
        <row r="508">
          <cell r="A508">
            <v>2010108119</v>
          </cell>
          <cell r="N508" t="str">
            <v>Active-Secondary</v>
          </cell>
        </row>
        <row r="509">
          <cell r="A509">
            <v>2010108200</v>
          </cell>
          <cell r="N509" t="str">
            <v>Active-Success</v>
          </cell>
        </row>
        <row r="510">
          <cell r="A510">
            <v>2010108201</v>
          </cell>
          <cell r="N510" t="str">
            <v>Active-Success</v>
          </cell>
        </row>
        <row r="511">
          <cell r="A511">
            <v>2010108202</v>
          </cell>
          <cell r="N511" t="str">
            <v>Active-Success</v>
          </cell>
        </row>
        <row r="512">
          <cell r="A512">
            <v>2010108203</v>
          </cell>
          <cell r="N512" t="str">
            <v>Active-Success</v>
          </cell>
        </row>
        <row r="513">
          <cell r="A513">
            <v>2010108204</v>
          </cell>
          <cell r="N513" t="str">
            <v>Active-Success</v>
          </cell>
        </row>
        <row r="514">
          <cell r="A514">
            <v>2010108205</v>
          </cell>
          <cell r="N514" t="str">
            <v>Active-Success</v>
          </cell>
        </row>
        <row r="515">
          <cell r="A515">
            <v>2010108206</v>
          </cell>
          <cell r="N515" t="str">
            <v>Active-Success</v>
          </cell>
        </row>
        <row r="516">
          <cell r="A516">
            <v>2010108207</v>
          </cell>
          <cell r="N516" t="str">
            <v>Active-Success</v>
          </cell>
        </row>
        <row r="517">
          <cell r="A517">
            <v>2010108208</v>
          </cell>
          <cell r="N517" t="str">
            <v>Active-Success</v>
          </cell>
        </row>
        <row r="518">
          <cell r="A518">
            <v>2010108209</v>
          </cell>
          <cell r="N518" t="str">
            <v>Active-Success</v>
          </cell>
        </row>
        <row r="519">
          <cell r="A519">
            <v>2010108210</v>
          </cell>
          <cell r="N519" t="str">
            <v>Active-Success</v>
          </cell>
        </row>
        <row r="520">
          <cell r="A520">
            <v>2010108211</v>
          </cell>
          <cell r="N520" t="str">
            <v>Active-Success</v>
          </cell>
        </row>
        <row r="521">
          <cell r="A521">
            <v>2010108212</v>
          </cell>
          <cell r="N521" t="str">
            <v>Active-Success</v>
          </cell>
        </row>
        <row r="522">
          <cell r="A522">
            <v>2010108213</v>
          </cell>
          <cell r="N522" t="str">
            <v>Active-Success</v>
          </cell>
        </row>
        <row r="523">
          <cell r="A523">
            <v>2010108214</v>
          </cell>
          <cell r="N523" t="str">
            <v>Active-Success</v>
          </cell>
        </row>
        <row r="524">
          <cell r="A524">
            <v>2010108215</v>
          </cell>
          <cell r="N524" t="str">
            <v>Active-Success</v>
          </cell>
        </row>
        <row r="525">
          <cell r="A525">
            <v>2010108216</v>
          </cell>
          <cell r="N525" t="str">
            <v>Active-Success</v>
          </cell>
        </row>
        <row r="526">
          <cell r="A526">
            <v>2010108217</v>
          </cell>
          <cell r="N526" t="str">
            <v>Active-Success</v>
          </cell>
        </row>
        <row r="527">
          <cell r="A527">
            <v>2010108218</v>
          </cell>
          <cell r="N527" t="str">
            <v>Active-Success</v>
          </cell>
        </row>
        <row r="528">
          <cell r="A528">
            <v>2010108219</v>
          </cell>
          <cell r="N528" t="str">
            <v>Active-Success</v>
          </cell>
        </row>
        <row r="529">
          <cell r="A529">
            <v>2010108300</v>
          </cell>
          <cell r="N529" t="str">
            <v>Active-Danger</v>
          </cell>
        </row>
        <row r="530">
          <cell r="A530">
            <v>2010108301</v>
          </cell>
          <cell r="N530" t="str">
            <v>Active-Danger</v>
          </cell>
        </row>
        <row r="531">
          <cell r="A531">
            <v>2010108302</v>
          </cell>
          <cell r="N531" t="str">
            <v>Active-Danger</v>
          </cell>
        </row>
        <row r="532">
          <cell r="A532">
            <v>2010108303</v>
          </cell>
          <cell r="N532" t="str">
            <v>Active-Danger</v>
          </cell>
        </row>
        <row r="533">
          <cell r="A533">
            <v>2010108304</v>
          </cell>
          <cell r="N533" t="str">
            <v>Active-Danger</v>
          </cell>
        </row>
        <row r="534">
          <cell r="A534">
            <v>2010108305</v>
          </cell>
          <cell r="N534" t="str">
            <v>Active-Danger</v>
          </cell>
        </row>
        <row r="535">
          <cell r="A535">
            <v>2010108306</v>
          </cell>
          <cell r="N535" t="str">
            <v>Active-Danger</v>
          </cell>
        </row>
        <row r="536">
          <cell r="A536">
            <v>2010108307</v>
          </cell>
          <cell r="N536" t="str">
            <v>Active-Danger</v>
          </cell>
        </row>
        <row r="537">
          <cell r="A537">
            <v>2010108308</v>
          </cell>
          <cell r="N537" t="str">
            <v>Active-Danger</v>
          </cell>
        </row>
        <row r="538">
          <cell r="A538">
            <v>2010108309</v>
          </cell>
          <cell r="N538" t="str">
            <v>Active-Danger</v>
          </cell>
        </row>
        <row r="539">
          <cell r="A539">
            <v>2010108310</v>
          </cell>
          <cell r="N539" t="str">
            <v>Active-Danger</v>
          </cell>
        </row>
        <row r="540">
          <cell r="A540">
            <v>2010108311</v>
          </cell>
          <cell r="N540" t="str">
            <v>Active-Danger</v>
          </cell>
        </row>
        <row r="541">
          <cell r="A541">
            <v>2010108312</v>
          </cell>
          <cell r="N541" t="str">
            <v>Active-Danger</v>
          </cell>
        </row>
        <row r="542">
          <cell r="A542">
            <v>2010108313</v>
          </cell>
          <cell r="N542" t="str">
            <v>Active-Danger</v>
          </cell>
        </row>
        <row r="543">
          <cell r="A543">
            <v>2010108314</v>
          </cell>
          <cell r="N543" t="str">
            <v>Active-Danger</v>
          </cell>
        </row>
        <row r="544">
          <cell r="A544">
            <v>2010108315</v>
          </cell>
          <cell r="N544" t="str">
            <v>Active-Danger</v>
          </cell>
        </row>
        <row r="545">
          <cell r="A545">
            <v>2010108316</v>
          </cell>
          <cell r="N545" t="str">
            <v>Active-Danger</v>
          </cell>
        </row>
        <row r="546">
          <cell r="A546">
            <v>2010108317</v>
          </cell>
          <cell r="N546" t="str">
            <v>Active-Danger</v>
          </cell>
        </row>
        <row r="547">
          <cell r="A547">
            <v>2010108318</v>
          </cell>
          <cell r="N547" t="str">
            <v>Active-Danger</v>
          </cell>
        </row>
        <row r="548">
          <cell r="A548">
            <v>2010108319</v>
          </cell>
          <cell r="N548" t="str">
            <v>Active-Danger</v>
          </cell>
        </row>
        <row r="549">
          <cell r="A549">
            <v>2010108400</v>
          </cell>
          <cell r="N549" t="str">
            <v>Active-Warning</v>
          </cell>
        </row>
        <row r="550">
          <cell r="A550">
            <v>2010108401</v>
          </cell>
          <cell r="N550" t="str">
            <v>Active-Warning</v>
          </cell>
        </row>
        <row r="551">
          <cell r="A551">
            <v>2010108402</v>
          </cell>
          <cell r="N551" t="str">
            <v>Active-Warning</v>
          </cell>
        </row>
        <row r="552">
          <cell r="A552">
            <v>2010108403</v>
          </cell>
          <cell r="N552" t="str">
            <v>Active-Warning</v>
          </cell>
        </row>
        <row r="553">
          <cell r="A553">
            <v>2010108404</v>
          </cell>
          <cell r="N553" t="str">
            <v>Active-Warning</v>
          </cell>
        </row>
        <row r="554">
          <cell r="A554">
            <v>2010108405</v>
          </cell>
          <cell r="N554" t="str">
            <v>Active-Warning</v>
          </cell>
        </row>
        <row r="555">
          <cell r="A555">
            <v>2010108406</v>
          </cell>
          <cell r="N555" t="str">
            <v>Active-Warning</v>
          </cell>
        </row>
        <row r="556">
          <cell r="A556">
            <v>2010108407</v>
          </cell>
          <cell r="N556" t="str">
            <v>Active-Warning</v>
          </cell>
        </row>
        <row r="557">
          <cell r="A557">
            <v>2010108408</v>
          </cell>
          <cell r="N557" t="str">
            <v>Active-Warning</v>
          </cell>
        </row>
        <row r="558">
          <cell r="A558">
            <v>2010108409</v>
          </cell>
          <cell r="N558" t="str">
            <v>Active-Warning</v>
          </cell>
        </row>
        <row r="559">
          <cell r="A559">
            <v>2010108410</v>
          </cell>
          <cell r="N559" t="str">
            <v>Active-Warning</v>
          </cell>
        </row>
        <row r="560">
          <cell r="A560">
            <v>2010108411</v>
          </cell>
          <cell r="N560" t="str">
            <v>Active-Warning</v>
          </cell>
        </row>
        <row r="561">
          <cell r="A561">
            <v>2010108412</v>
          </cell>
          <cell r="N561" t="str">
            <v>Active-Warning</v>
          </cell>
        </row>
        <row r="562">
          <cell r="A562">
            <v>2010108413</v>
          </cell>
          <cell r="N562" t="str">
            <v>Active-Warning</v>
          </cell>
        </row>
        <row r="563">
          <cell r="A563">
            <v>2010108414</v>
          </cell>
          <cell r="N563" t="str">
            <v>Active-Warning</v>
          </cell>
        </row>
        <row r="564">
          <cell r="A564">
            <v>2010108415</v>
          </cell>
          <cell r="N564" t="str">
            <v>Active-Warning</v>
          </cell>
        </row>
        <row r="565">
          <cell r="A565">
            <v>2010108416</v>
          </cell>
          <cell r="N565" t="str">
            <v>Active-Warning</v>
          </cell>
        </row>
        <row r="566">
          <cell r="A566">
            <v>2010108417</v>
          </cell>
          <cell r="N566" t="str">
            <v>Active-Warning</v>
          </cell>
        </row>
        <row r="567">
          <cell r="A567">
            <v>2010108418</v>
          </cell>
          <cell r="N567" t="str">
            <v>Active-Warning</v>
          </cell>
        </row>
        <row r="568">
          <cell r="A568">
            <v>2010108419</v>
          </cell>
          <cell r="N568" t="str">
            <v>Active-Warning</v>
          </cell>
        </row>
        <row r="569">
          <cell r="A569">
            <v>2010108500</v>
          </cell>
          <cell r="N569" t="str">
            <v>Active-Info</v>
          </cell>
        </row>
        <row r="570">
          <cell r="A570">
            <v>2010108501</v>
          </cell>
          <cell r="N570" t="str">
            <v>Active-Info</v>
          </cell>
        </row>
        <row r="571">
          <cell r="A571">
            <v>2010108502</v>
          </cell>
          <cell r="N571" t="str">
            <v>Active-Info</v>
          </cell>
        </row>
        <row r="572">
          <cell r="A572">
            <v>2010108503</v>
          </cell>
          <cell r="N572" t="str">
            <v>Active-Info</v>
          </cell>
        </row>
        <row r="573">
          <cell r="A573">
            <v>2010108504</v>
          </cell>
          <cell r="N573" t="str">
            <v>Active-Info</v>
          </cell>
        </row>
        <row r="574">
          <cell r="A574">
            <v>2010108505</v>
          </cell>
          <cell r="N574" t="str">
            <v>Active-Info</v>
          </cell>
        </row>
        <row r="575">
          <cell r="A575">
            <v>2010108506</v>
          </cell>
          <cell r="N575" t="str">
            <v>Active-Info</v>
          </cell>
        </row>
        <row r="576">
          <cell r="A576">
            <v>2010108507</v>
          </cell>
          <cell r="N576" t="str">
            <v>Active-Info</v>
          </cell>
        </row>
        <row r="577">
          <cell r="A577">
            <v>2010108508</v>
          </cell>
          <cell r="N577" t="str">
            <v>Active-Info</v>
          </cell>
        </row>
        <row r="578">
          <cell r="A578">
            <v>2010108509</v>
          </cell>
          <cell r="N578" t="str">
            <v>Active-Info</v>
          </cell>
        </row>
        <row r="579">
          <cell r="A579">
            <v>2010108510</v>
          </cell>
          <cell r="N579" t="str">
            <v>Active-Info</v>
          </cell>
        </row>
        <row r="580">
          <cell r="A580">
            <v>2010108511</v>
          </cell>
          <cell r="N580" t="str">
            <v>Active-Info</v>
          </cell>
        </row>
        <row r="581">
          <cell r="A581">
            <v>2010108512</v>
          </cell>
          <cell r="N581" t="str">
            <v>Active-Info</v>
          </cell>
        </row>
        <row r="582">
          <cell r="A582">
            <v>2010108513</v>
          </cell>
          <cell r="N582" t="str">
            <v>Active-Info</v>
          </cell>
        </row>
        <row r="583">
          <cell r="A583">
            <v>2010108514</v>
          </cell>
          <cell r="N583" t="str">
            <v>Active-Info</v>
          </cell>
        </row>
        <row r="584">
          <cell r="A584">
            <v>2010108515</v>
          </cell>
          <cell r="N584" t="str">
            <v>Active-Info</v>
          </cell>
        </row>
        <row r="585">
          <cell r="A585">
            <v>2010108516</v>
          </cell>
          <cell r="N585" t="str">
            <v>Active-Info</v>
          </cell>
        </row>
        <row r="586">
          <cell r="A586">
            <v>2010108517</v>
          </cell>
          <cell r="N586" t="str">
            <v>Active-Info</v>
          </cell>
        </row>
        <row r="587">
          <cell r="A587">
            <v>2010108518</v>
          </cell>
          <cell r="N587" t="str">
            <v>Active-Info</v>
          </cell>
        </row>
        <row r="588">
          <cell r="A588">
            <v>2010108519</v>
          </cell>
          <cell r="N588" t="str">
            <v>Active-Info</v>
          </cell>
        </row>
        <row r="589">
          <cell r="A589">
            <v>2010108600</v>
          </cell>
          <cell r="N589" t="str">
            <v>Active-Light</v>
          </cell>
        </row>
        <row r="590">
          <cell r="A590">
            <v>2010108601</v>
          </cell>
          <cell r="N590" t="str">
            <v>Active-Light</v>
          </cell>
        </row>
        <row r="591">
          <cell r="A591">
            <v>2010108602</v>
          </cell>
          <cell r="N591" t="str">
            <v>Active-Light</v>
          </cell>
        </row>
        <row r="592">
          <cell r="A592">
            <v>2010108603</v>
          </cell>
          <cell r="N592" t="str">
            <v>Active-Light</v>
          </cell>
        </row>
        <row r="593">
          <cell r="A593">
            <v>2010108604</v>
          </cell>
          <cell r="N593" t="str">
            <v>Active-Light</v>
          </cell>
        </row>
        <row r="594">
          <cell r="A594">
            <v>2010108605</v>
          </cell>
          <cell r="N594" t="str">
            <v>Active-Light</v>
          </cell>
        </row>
        <row r="595">
          <cell r="A595">
            <v>2010108606</v>
          </cell>
          <cell r="N595" t="str">
            <v>Active-Light</v>
          </cell>
        </row>
        <row r="596">
          <cell r="A596">
            <v>2010108607</v>
          </cell>
          <cell r="N596" t="str">
            <v>Active-Light</v>
          </cell>
        </row>
        <row r="597">
          <cell r="A597">
            <v>2010108608</v>
          </cell>
          <cell r="N597" t="str">
            <v>Active-Light</v>
          </cell>
        </row>
        <row r="598">
          <cell r="A598">
            <v>2010108609</v>
          </cell>
          <cell r="N598" t="str">
            <v>Active-Light</v>
          </cell>
        </row>
        <row r="599">
          <cell r="A599">
            <v>2010108610</v>
          </cell>
          <cell r="N599" t="str">
            <v>Active-Light</v>
          </cell>
        </row>
        <row r="600">
          <cell r="A600">
            <v>2010108611</v>
          </cell>
          <cell r="N600" t="str">
            <v>Active-Light</v>
          </cell>
        </row>
        <row r="601">
          <cell r="A601">
            <v>2010108612</v>
          </cell>
          <cell r="N601" t="str">
            <v>Active-Light</v>
          </cell>
        </row>
        <row r="602">
          <cell r="A602">
            <v>2010108613</v>
          </cell>
          <cell r="N602" t="str">
            <v>Active-Light</v>
          </cell>
        </row>
        <row r="603">
          <cell r="A603">
            <v>2010108614</v>
          </cell>
          <cell r="N603" t="str">
            <v>Active-Light</v>
          </cell>
        </row>
        <row r="604">
          <cell r="A604">
            <v>2010108615</v>
          </cell>
          <cell r="N604" t="str">
            <v>Active-Light</v>
          </cell>
        </row>
        <row r="605">
          <cell r="A605">
            <v>2010108616</v>
          </cell>
          <cell r="N605" t="str">
            <v>Active-Light</v>
          </cell>
        </row>
        <row r="606">
          <cell r="A606">
            <v>2010108617</v>
          </cell>
          <cell r="N606" t="str">
            <v>Active-Light</v>
          </cell>
        </row>
        <row r="607">
          <cell r="A607">
            <v>2010108618</v>
          </cell>
          <cell r="N607" t="str">
            <v>Active-Light</v>
          </cell>
        </row>
        <row r="608">
          <cell r="A608">
            <v>2010108619</v>
          </cell>
          <cell r="N608" t="str">
            <v>Active-Light</v>
          </cell>
        </row>
        <row r="609">
          <cell r="A609">
            <v>2010108700</v>
          </cell>
          <cell r="N609" t="str">
            <v>Active-Dark</v>
          </cell>
        </row>
        <row r="610">
          <cell r="A610">
            <v>2010108701</v>
          </cell>
          <cell r="N610" t="str">
            <v>Active-Dark</v>
          </cell>
        </row>
        <row r="611">
          <cell r="A611">
            <v>2010108702</v>
          </cell>
          <cell r="N611" t="str">
            <v>Active-Dark</v>
          </cell>
        </row>
        <row r="612">
          <cell r="A612">
            <v>2010108703</v>
          </cell>
          <cell r="N612" t="str">
            <v>Active-Dark</v>
          </cell>
        </row>
        <row r="613">
          <cell r="A613">
            <v>2010108704</v>
          </cell>
          <cell r="N613" t="str">
            <v>Active-Dark</v>
          </cell>
        </row>
        <row r="614">
          <cell r="A614">
            <v>2010108705</v>
          </cell>
          <cell r="N614" t="str">
            <v>Active-Dark</v>
          </cell>
        </row>
        <row r="615">
          <cell r="A615">
            <v>2010108706</v>
          </cell>
          <cell r="N615" t="str">
            <v>Active-Dark</v>
          </cell>
        </row>
        <row r="616">
          <cell r="A616">
            <v>2010108707</v>
          </cell>
          <cell r="N616" t="str">
            <v>Active-Dark</v>
          </cell>
        </row>
        <row r="617">
          <cell r="A617">
            <v>2010108708</v>
          </cell>
          <cell r="N617" t="str">
            <v>Active-Dark</v>
          </cell>
        </row>
        <row r="618">
          <cell r="A618">
            <v>2010108709</v>
          </cell>
          <cell r="N618" t="str">
            <v>Active-Dark</v>
          </cell>
        </row>
        <row r="619">
          <cell r="A619">
            <v>2010108710</v>
          </cell>
          <cell r="N619" t="str">
            <v>Active-Dark</v>
          </cell>
        </row>
        <row r="620">
          <cell r="A620">
            <v>2010108711</v>
          </cell>
          <cell r="N620" t="str">
            <v>Active-Dark</v>
          </cell>
        </row>
        <row r="621">
          <cell r="A621">
            <v>2010108712</v>
          </cell>
          <cell r="N621" t="str">
            <v>Active-Dark</v>
          </cell>
        </row>
        <row r="622">
          <cell r="A622">
            <v>2010108713</v>
          </cell>
          <cell r="N622" t="str">
            <v>Active-Dark</v>
          </cell>
        </row>
        <row r="623">
          <cell r="A623">
            <v>2010108714</v>
          </cell>
          <cell r="N623" t="str">
            <v>Active-Dark</v>
          </cell>
        </row>
        <row r="624">
          <cell r="A624">
            <v>2010108715</v>
          </cell>
          <cell r="N624" t="str">
            <v>Active-Dark</v>
          </cell>
        </row>
        <row r="625">
          <cell r="A625">
            <v>2010108716</v>
          </cell>
          <cell r="N625" t="str">
            <v>Active-Dark</v>
          </cell>
        </row>
        <row r="626">
          <cell r="A626">
            <v>2010108717</v>
          </cell>
          <cell r="N626" t="str">
            <v>Active-Dark</v>
          </cell>
        </row>
        <row r="627">
          <cell r="A627">
            <v>2010108718</v>
          </cell>
          <cell r="N627" t="str">
            <v>Active-Dark</v>
          </cell>
        </row>
        <row r="628">
          <cell r="A628">
            <v>2010108719</v>
          </cell>
          <cell r="N628" t="str">
            <v>Active-Dark</v>
          </cell>
        </row>
        <row r="629">
          <cell r="A629">
            <v>2010109000</v>
          </cell>
          <cell r="N629" t="str">
            <v>Disabled-Primary</v>
          </cell>
        </row>
        <row r="630">
          <cell r="A630">
            <v>2010109001</v>
          </cell>
          <cell r="N630" t="str">
            <v>Disabled-Primary</v>
          </cell>
        </row>
        <row r="631">
          <cell r="A631">
            <v>2010109002</v>
          </cell>
          <cell r="N631" t="str">
            <v>Disabled-Primary</v>
          </cell>
        </row>
        <row r="632">
          <cell r="A632">
            <v>2010109003</v>
          </cell>
          <cell r="N632" t="str">
            <v>Disabled-Primary</v>
          </cell>
        </row>
        <row r="633">
          <cell r="A633">
            <v>2010109004</v>
          </cell>
          <cell r="N633" t="str">
            <v>Disabled-Primary</v>
          </cell>
        </row>
        <row r="634">
          <cell r="A634">
            <v>2010109005</v>
          </cell>
          <cell r="N634" t="str">
            <v>Disabled-Primary</v>
          </cell>
        </row>
        <row r="635">
          <cell r="A635">
            <v>2010109006</v>
          </cell>
          <cell r="N635" t="str">
            <v>Disabled-Primary</v>
          </cell>
        </row>
        <row r="636">
          <cell r="A636">
            <v>2010109007</v>
          </cell>
          <cell r="N636" t="str">
            <v>Disabled-Primary</v>
          </cell>
        </row>
        <row r="637">
          <cell r="A637">
            <v>2010109008</v>
          </cell>
          <cell r="N637" t="str">
            <v>Disabled-Primary</v>
          </cell>
        </row>
        <row r="638">
          <cell r="A638">
            <v>2010109009</v>
          </cell>
          <cell r="N638" t="str">
            <v>Disabled-Primary</v>
          </cell>
        </row>
        <row r="639">
          <cell r="A639">
            <v>2010109010</v>
          </cell>
          <cell r="N639" t="str">
            <v>Disabled-Primary</v>
          </cell>
        </row>
        <row r="640">
          <cell r="A640">
            <v>2010109011</v>
          </cell>
          <cell r="N640" t="str">
            <v>Disabled-Primary</v>
          </cell>
        </row>
        <row r="641">
          <cell r="A641">
            <v>2010109012</v>
          </cell>
          <cell r="N641" t="str">
            <v>Disabled-Primary</v>
          </cell>
        </row>
        <row r="642">
          <cell r="A642">
            <v>2010109013</v>
          </cell>
          <cell r="N642" t="str">
            <v>Disabled-Primary</v>
          </cell>
        </row>
        <row r="643">
          <cell r="A643">
            <v>2010109014</v>
          </cell>
          <cell r="N643" t="str">
            <v>Disabled-Primary</v>
          </cell>
        </row>
        <row r="644">
          <cell r="A644">
            <v>2010109015</v>
          </cell>
          <cell r="N644" t="str">
            <v>Disabled-Primary</v>
          </cell>
        </row>
        <row r="645">
          <cell r="A645">
            <v>2010109016</v>
          </cell>
          <cell r="N645" t="str">
            <v>Disabled-Primary</v>
          </cell>
        </row>
        <row r="646">
          <cell r="A646">
            <v>2010109017</v>
          </cell>
          <cell r="N646" t="str">
            <v>Disabled-Primary</v>
          </cell>
        </row>
        <row r="647">
          <cell r="A647">
            <v>2010109018</v>
          </cell>
          <cell r="N647" t="str">
            <v>Disabled-Primary</v>
          </cell>
        </row>
        <row r="648">
          <cell r="A648">
            <v>2010109019</v>
          </cell>
          <cell r="N648" t="str">
            <v>Disabled-Primary</v>
          </cell>
        </row>
        <row r="649">
          <cell r="A649">
            <v>2010109100</v>
          </cell>
          <cell r="N649" t="str">
            <v>Disabled-Secondary</v>
          </cell>
        </row>
        <row r="650">
          <cell r="A650">
            <v>2010109101</v>
          </cell>
          <cell r="N650" t="str">
            <v>Disabled-Secondary</v>
          </cell>
        </row>
        <row r="651">
          <cell r="A651">
            <v>2010109102</v>
          </cell>
          <cell r="N651" t="str">
            <v>Disabled-Secondary</v>
          </cell>
        </row>
        <row r="652">
          <cell r="A652">
            <v>2010109103</v>
          </cell>
          <cell r="N652" t="str">
            <v>Disabled-Secondary</v>
          </cell>
        </row>
        <row r="653">
          <cell r="A653">
            <v>2010109104</v>
          </cell>
          <cell r="N653" t="str">
            <v>Disabled-Secondary</v>
          </cell>
        </row>
        <row r="654">
          <cell r="A654">
            <v>2010109105</v>
          </cell>
          <cell r="N654" t="str">
            <v>Disabled-Secondary</v>
          </cell>
        </row>
        <row r="655">
          <cell r="A655">
            <v>2010109106</v>
          </cell>
          <cell r="N655" t="str">
            <v>Disabled-Secondary</v>
          </cell>
        </row>
        <row r="656">
          <cell r="A656">
            <v>2010109107</v>
          </cell>
          <cell r="N656" t="str">
            <v>Disabled-Secondary</v>
          </cell>
        </row>
        <row r="657">
          <cell r="A657">
            <v>2010109108</v>
          </cell>
          <cell r="N657" t="str">
            <v>Disabled-Secondary</v>
          </cell>
        </row>
        <row r="658">
          <cell r="A658">
            <v>2010109109</v>
          </cell>
          <cell r="N658" t="str">
            <v>Disabled-Secondary</v>
          </cell>
        </row>
        <row r="659">
          <cell r="A659">
            <v>2010109110</v>
          </cell>
          <cell r="N659" t="str">
            <v>Disabled-Secondary</v>
          </cell>
        </row>
        <row r="660">
          <cell r="A660">
            <v>2010109111</v>
          </cell>
          <cell r="N660" t="str">
            <v>Disabled-Secondary</v>
          </cell>
        </row>
        <row r="661">
          <cell r="A661">
            <v>2010109112</v>
          </cell>
          <cell r="N661" t="str">
            <v>Disabled-Secondary</v>
          </cell>
        </row>
        <row r="662">
          <cell r="A662">
            <v>2010109113</v>
          </cell>
          <cell r="N662" t="str">
            <v>Disabled-Secondary</v>
          </cell>
        </row>
        <row r="663">
          <cell r="A663">
            <v>2010109114</v>
          </cell>
          <cell r="N663" t="str">
            <v>Disabled-Secondary</v>
          </cell>
        </row>
        <row r="664">
          <cell r="A664">
            <v>2010109115</v>
          </cell>
          <cell r="N664" t="str">
            <v>Disabled-Secondary</v>
          </cell>
        </row>
        <row r="665">
          <cell r="A665">
            <v>2010109116</v>
          </cell>
          <cell r="N665" t="str">
            <v>Disabled-Secondary</v>
          </cell>
        </row>
        <row r="666">
          <cell r="A666">
            <v>2010109117</v>
          </cell>
          <cell r="N666" t="str">
            <v>Disabled-Secondary</v>
          </cell>
        </row>
        <row r="667">
          <cell r="A667">
            <v>2010109118</v>
          </cell>
          <cell r="N667" t="str">
            <v>Disabled-Secondary</v>
          </cell>
        </row>
        <row r="668">
          <cell r="A668">
            <v>2010109119</v>
          </cell>
          <cell r="N668" t="str">
            <v>Disabled-Secondary</v>
          </cell>
        </row>
        <row r="669">
          <cell r="A669">
            <v>2010109200</v>
          </cell>
          <cell r="N669" t="str">
            <v>Disabled-Success</v>
          </cell>
        </row>
        <row r="670">
          <cell r="A670">
            <v>2010109201</v>
          </cell>
          <cell r="N670" t="str">
            <v>Disabled-Success</v>
          </cell>
        </row>
        <row r="671">
          <cell r="A671">
            <v>2010109202</v>
          </cell>
          <cell r="N671" t="str">
            <v>Disabled-Success</v>
          </cell>
        </row>
        <row r="672">
          <cell r="A672">
            <v>2010109203</v>
          </cell>
          <cell r="N672" t="str">
            <v>Disabled-Success</v>
          </cell>
        </row>
        <row r="673">
          <cell r="A673">
            <v>2010109204</v>
          </cell>
          <cell r="N673" t="str">
            <v>Disabled-Success</v>
          </cell>
        </row>
        <row r="674">
          <cell r="A674">
            <v>2010109205</v>
          </cell>
          <cell r="N674" t="str">
            <v>Disabled-Success</v>
          </cell>
        </row>
        <row r="675">
          <cell r="A675">
            <v>2010109206</v>
          </cell>
          <cell r="N675" t="str">
            <v>Disabled-Success</v>
          </cell>
        </row>
        <row r="676">
          <cell r="A676">
            <v>2010109207</v>
          </cell>
          <cell r="N676" t="str">
            <v>Disabled-Success</v>
          </cell>
        </row>
        <row r="677">
          <cell r="A677">
            <v>2010109208</v>
          </cell>
          <cell r="N677" t="str">
            <v>Disabled-Success</v>
          </cell>
        </row>
        <row r="678">
          <cell r="A678">
            <v>2010109209</v>
          </cell>
          <cell r="N678" t="str">
            <v>Disabled-Success</v>
          </cell>
        </row>
        <row r="679">
          <cell r="A679">
            <v>2010109210</v>
          </cell>
          <cell r="N679" t="str">
            <v>Disabled-Success</v>
          </cell>
        </row>
        <row r="680">
          <cell r="A680">
            <v>2010109211</v>
          </cell>
          <cell r="N680" t="str">
            <v>Disabled-Success</v>
          </cell>
        </row>
        <row r="681">
          <cell r="A681">
            <v>2010109212</v>
          </cell>
          <cell r="N681" t="str">
            <v>Disabled-Success</v>
          </cell>
        </row>
        <row r="682">
          <cell r="A682">
            <v>2010109213</v>
          </cell>
          <cell r="N682" t="str">
            <v>Disabled-Success</v>
          </cell>
        </row>
        <row r="683">
          <cell r="A683">
            <v>2010109214</v>
          </cell>
          <cell r="N683" t="str">
            <v>Disabled-Success</v>
          </cell>
        </row>
        <row r="684">
          <cell r="A684">
            <v>2010109215</v>
          </cell>
          <cell r="N684" t="str">
            <v>Disabled-Success</v>
          </cell>
        </row>
        <row r="685">
          <cell r="A685">
            <v>2010109216</v>
          </cell>
          <cell r="N685" t="str">
            <v>Disabled-Success</v>
          </cell>
        </row>
        <row r="686">
          <cell r="A686">
            <v>2010109217</v>
          </cell>
          <cell r="N686" t="str">
            <v>Disabled-Success</v>
          </cell>
        </row>
        <row r="687">
          <cell r="A687">
            <v>2010109218</v>
          </cell>
          <cell r="N687" t="str">
            <v>Disabled-Success</v>
          </cell>
        </row>
        <row r="688">
          <cell r="A688">
            <v>2010109219</v>
          </cell>
          <cell r="N688" t="str">
            <v>Disabled-Success</v>
          </cell>
        </row>
        <row r="689">
          <cell r="A689">
            <v>2010109300</v>
          </cell>
          <cell r="N689" t="str">
            <v>Disabled-Danger</v>
          </cell>
        </row>
        <row r="690">
          <cell r="A690">
            <v>2010109301</v>
          </cell>
          <cell r="N690" t="str">
            <v>Disabled-Danger</v>
          </cell>
        </row>
        <row r="691">
          <cell r="A691">
            <v>2010109302</v>
          </cell>
          <cell r="N691" t="str">
            <v>Disabled-Danger</v>
          </cell>
        </row>
        <row r="692">
          <cell r="A692">
            <v>2010109303</v>
          </cell>
          <cell r="N692" t="str">
            <v>Disabled-Danger</v>
          </cell>
        </row>
        <row r="693">
          <cell r="A693">
            <v>2010109304</v>
          </cell>
          <cell r="N693" t="str">
            <v>Disabled-Danger</v>
          </cell>
        </row>
        <row r="694">
          <cell r="A694">
            <v>2010109305</v>
          </cell>
          <cell r="N694" t="str">
            <v>Disabled-Danger</v>
          </cell>
        </row>
        <row r="695">
          <cell r="A695">
            <v>2010109306</v>
          </cell>
          <cell r="N695" t="str">
            <v>Disabled-Danger</v>
          </cell>
        </row>
        <row r="696">
          <cell r="A696">
            <v>2010109307</v>
          </cell>
          <cell r="N696" t="str">
            <v>Disabled-Danger</v>
          </cell>
        </row>
        <row r="697">
          <cell r="A697">
            <v>2010109308</v>
          </cell>
          <cell r="N697" t="str">
            <v>Disabled-Danger</v>
          </cell>
        </row>
        <row r="698">
          <cell r="A698">
            <v>2010109309</v>
          </cell>
          <cell r="N698" t="str">
            <v>Disabled-Danger</v>
          </cell>
        </row>
        <row r="699">
          <cell r="A699">
            <v>2010109310</v>
          </cell>
          <cell r="N699" t="str">
            <v>Disabled-Danger</v>
          </cell>
        </row>
        <row r="700">
          <cell r="A700">
            <v>2010109311</v>
          </cell>
          <cell r="N700" t="str">
            <v>Disabled-Danger</v>
          </cell>
        </row>
        <row r="701">
          <cell r="A701">
            <v>2010109312</v>
          </cell>
          <cell r="N701" t="str">
            <v>Disabled-Danger</v>
          </cell>
        </row>
        <row r="702">
          <cell r="A702">
            <v>2010109313</v>
          </cell>
          <cell r="N702" t="str">
            <v>Disabled-Danger</v>
          </cell>
        </row>
        <row r="703">
          <cell r="A703">
            <v>2010109314</v>
          </cell>
          <cell r="N703" t="str">
            <v>Disabled-Danger</v>
          </cell>
        </row>
        <row r="704">
          <cell r="A704">
            <v>2010109315</v>
          </cell>
          <cell r="N704" t="str">
            <v>Disabled-Danger</v>
          </cell>
        </row>
        <row r="705">
          <cell r="A705">
            <v>2010109316</v>
          </cell>
          <cell r="N705" t="str">
            <v>Disabled-Danger</v>
          </cell>
        </row>
        <row r="706">
          <cell r="A706">
            <v>2010109317</v>
          </cell>
          <cell r="N706" t="str">
            <v>Disabled-Danger</v>
          </cell>
        </row>
        <row r="707">
          <cell r="A707">
            <v>2010109318</v>
          </cell>
          <cell r="N707" t="str">
            <v>Disabled-Danger</v>
          </cell>
        </row>
        <row r="708">
          <cell r="A708">
            <v>2010109319</v>
          </cell>
          <cell r="N708" t="str">
            <v>Disabled-Danger</v>
          </cell>
        </row>
        <row r="709">
          <cell r="A709">
            <v>2010109400</v>
          </cell>
          <cell r="N709" t="str">
            <v>Disabled-Warning</v>
          </cell>
        </row>
        <row r="710">
          <cell r="A710">
            <v>2010109401</v>
          </cell>
          <cell r="N710" t="str">
            <v>Disabled-Warning</v>
          </cell>
        </row>
        <row r="711">
          <cell r="A711">
            <v>2010109402</v>
          </cell>
          <cell r="N711" t="str">
            <v>Disabled-Warning</v>
          </cell>
        </row>
        <row r="712">
          <cell r="A712">
            <v>2010109403</v>
          </cell>
          <cell r="N712" t="str">
            <v>Disabled-Warning</v>
          </cell>
        </row>
        <row r="713">
          <cell r="A713">
            <v>2010109404</v>
          </cell>
          <cell r="N713" t="str">
            <v>Disabled-Warning</v>
          </cell>
        </row>
        <row r="714">
          <cell r="A714">
            <v>2010109405</v>
          </cell>
          <cell r="N714" t="str">
            <v>Disabled-Warning</v>
          </cell>
        </row>
        <row r="715">
          <cell r="A715">
            <v>2010109406</v>
          </cell>
          <cell r="N715" t="str">
            <v>Disabled-Warning</v>
          </cell>
        </row>
        <row r="716">
          <cell r="A716">
            <v>2010109407</v>
          </cell>
          <cell r="N716" t="str">
            <v>Disabled-Warning</v>
          </cell>
        </row>
        <row r="717">
          <cell r="A717">
            <v>2010109408</v>
          </cell>
          <cell r="N717" t="str">
            <v>Disabled-Warning</v>
          </cell>
        </row>
        <row r="718">
          <cell r="A718">
            <v>2010109409</v>
          </cell>
          <cell r="N718" t="str">
            <v>Disabled-Warning</v>
          </cell>
        </row>
        <row r="719">
          <cell r="A719">
            <v>2010109410</v>
          </cell>
          <cell r="N719" t="str">
            <v>Disabled-Warning</v>
          </cell>
        </row>
        <row r="720">
          <cell r="A720">
            <v>2010109411</v>
          </cell>
          <cell r="N720" t="str">
            <v>Disabled-Warning</v>
          </cell>
        </row>
        <row r="721">
          <cell r="A721">
            <v>2010109412</v>
          </cell>
          <cell r="N721" t="str">
            <v>Disabled-Warning</v>
          </cell>
        </row>
        <row r="722">
          <cell r="A722">
            <v>2010109413</v>
          </cell>
          <cell r="N722" t="str">
            <v>Disabled-Warning</v>
          </cell>
        </row>
        <row r="723">
          <cell r="A723">
            <v>2010109414</v>
          </cell>
          <cell r="N723" t="str">
            <v>Disabled-Warning</v>
          </cell>
        </row>
        <row r="724">
          <cell r="A724">
            <v>2010109415</v>
          </cell>
          <cell r="N724" t="str">
            <v>Disabled-Warning</v>
          </cell>
        </row>
        <row r="725">
          <cell r="A725">
            <v>2010109416</v>
          </cell>
          <cell r="N725" t="str">
            <v>Disabled-Warning</v>
          </cell>
        </row>
        <row r="726">
          <cell r="A726">
            <v>2010109417</v>
          </cell>
          <cell r="N726" t="str">
            <v>Disabled-Warning</v>
          </cell>
        </row>
        <row r="727">
          <cell r="A727">
            <v>2010109418</v>
          </cell>
          <cell r="N727" t="str">
            <v>Disabled-Warning</v>
          </cell>
        </row>
        <row r="728">
          <cell r="A728">
            <v>2010109419</v>
          </cell>
          <cell r="N728" t="str">
            <v>Disabled-Warning</v>
          </cell>
        </row>
        <row r="729">
          <cell r="A729">
            <v>2010109500</v>
          </cell>
          <cell r="N729" t="str">
            <v>Disabled-Info</v>
          </cell>
        </row>
        <row r="730">
          <cell r="A730">
            <v>2010109501</v>
          </cell>
          <cell r="N730" t="str">
            <v>Disabled-Info</v>
          </cell>
        </row>
        <row r="731">
          <cell r="A731">
            <v>2010109502</v>
          </cell>
          <cell r="N731" t="str">
            <v>Disabled-Info</v>
          </cell>
        </row>
        <row r="732">
          <cell r="A732">
            <v>2010109503</v>
          </cell>
          <cell r="N732" t="str">
            <v>Disabled-Info</v>
          </cell>
        </row>
        <row r="733">
          <cell r="A733">
            <v>2010109504</v>
          </cell>
          <cell r="N733" t="str">
            <v>Disabled-Info</v>
          </cell>
        </row>
        <row r="734">
          <cell r="A734">
            <v>2010109505</v>
          </cell>
          <cell r="N734" t="str">
            <v>Disabled-Info</v>
          </cell>
        </row>
        <row r="735">
          <cell r="A735">
            <v>2010109506</v>
          </cell>
          <cell r="N735" t="str">
            <v>Disabled-Info</v>
          </cell>
        </row>
        <row r="736">
          <cell r="A736">
            <v>2010109507</v>
          </cell>
          <cell r="N736" t="str">
            <v>Disabled-Info</v>
          </cell>
        </row>
        <row r="737">
          <cell r="A737">
            <v>2010109508</v>
          </cell>
          <cell r="N737" t="str">
            <v>Disabled-Info</v>
          </cell>
        </row>
        <row r="738">
          <cell r="A738">
            <v>2010109509</v>
          </cell>
          <cell r="N738" t="str">
            <v>Disabled-Info</v>
          </cell>
        </row>
        <row r="739">
          <cell r="A739">
            <v>2010109510</v>
          </cell>
          <cell r="N739" t="str">
            <v>Disabled-Info</v>
          </cell>
        </row>
        <row r="740">
          <cell r="A740">
            <v>2010109511</v>
          </cell>
          <cell r="N740" t="str">
            <v>Disabled-Info</v>
          </cell>
        </row>
        <row r="741">
          <cell r="A741">
            <v>2010109512</v>
          </cell>
          <cell r="N741" t="str">
            <v>Disabled-Info</v>
          </cell>
        </row>
        <row r="742">
          <cell r="A742">
            <v>2010109513</v>
          </cell>
          <cell r="N742" t="str">
            <v>Disabled-Info</v>
          </cell>
        </row>
        <row r="743">
          <cell r="A743">
            <v>2010109514</v>
          </cell>
          <cell r="N743" t="str">
            <v>Disabled-Info</v>
          </cell>
        </row>
        <row r="744">
          <cell r="A744">
            <v>2010109515</v>
          </cell>
          <cell r="N744" t="str">
            <v>Disabled-Info</v>
          </cell>
        </row>
        <row r="745">
          <cell r="A745">
            <v>2010109516</v>
          </cell>
          <cell r="N745" t="str">
            <v>Disabled-Info</v>
          </cell>
        </row>
        <row r="746">
          <cell r="A746">
            <v>2010109517</v>
          </cell>
          <cell r="N746" t="str">
            <v>Disabled-Info</v>
          </cell>
        </row>
        <row r="747">
          <cell r="A747">
            <v>2010109518</v>
          </cell>
          <cell r="N747" t="str">
            <v>Disabled-Info</v>
          </cell>
        </row>
        <row r="748">
          <cell r="A748">
            <v>2010109519</v>
          </cell>
          <cell r="N748" t="str">
            <v>Disabled-Info</v>
          </cell>
        </row>
        <row r="749">
          <cell r="A749">
            <v>2010109600</v>
          </cell>
          <cell r="N749" t="str">
            <v>Disabled-Light</v>
          </cell>
        </row>
        <row r="750">
          <cell r="A750">
            <v>2010109601</v>
          </cell>
          <cell r="N750" t="str">
            <v>Disabled-Light</v>
          </cell>
        </row>
        <row r="751">
          <cell r="A751">
            <v>2010109602</v>
          </cell>
          <cell r="N751" t="str">
            <v>Disabled-Light</v>
          </cell>
        </row>
        <row r="752">
          <cell r="A752">
            <v>2010109603</v>
          </cell>
          <cell r="N752" t="str">
            <v>Disabled-Light</v>
          </cell>
        </row>
        <row r="753">
          <cell r="A753">
            <v>2010109604</v>
          </cell>
          <cell r="N753" t="str">
            <v>Disabled-Light</v>
          </cell>
        </row>
        <row r="754">
          <cell r="A754">
            <v>2010109605</v>
          </cell>
          <cell r="N754" t="str">
            <v>Disabled-Light</v>
          </cell>
        </row>
        <row r="755">
          <cell r="A755">
            <v>2010109606</v>
          </cell>
          <cell r="N755" t="str">
            <v>Disabled-Light</v>
          </cell>
        </row>
        <row r="756">
          <cell r="A756">
            <v>2010109607</v>
          </cell>
          <cell r="N756" t="str">
            <v>Disabled-Light</v>
          </cell>
        </row>
        <row r="757">
          <cell r="A757">
            <v>2010109608</v>
          </cell>
          <cell r="N757" t="str">
            <v>Disabled-Light</v>
          </cell>
        </row>
        <row r="758">
          <cell r="A758">
            <v>2010109609</v>
          </cell>
          <cell r="N758" t="str">
            <v>Disabled-Light</v>
          </cell>
        </row>
        <row r="759">
          <cell r="A759">
            <v>2010109610</v>
          </cell>
          <cell r="N759" t="str">
            <v>Disabled-Light</v>
          </cell>
        </row>
        <row r="760">
          <cell r="A760">
            <v>2010109611</v>
          </cell>
          <cell r="N760" t="str">
            <v>Disabled-Light</v>
          </cell>
        </row>
        <row r="761">
          <cell r="A761">
            <v>2010109612</v>
          </cell>
          <cell r="N761" t="str">
            <v>Disabled-Light</v>
          </cell>
        </row>
        <row r="762">
          <cell r="A762">
            <v>2010109613</v>
          </cell>
          <cell r="N762" t="str">
            <v>Disabled-Light</v>
          </cell>
        </row>
        <row r="763">
          <cell r="A763">
            <v>2010109614</v>
          </cell>
          <cell r="N763" t="str">
            <v>Disabled-Light</v>
          </cell>
        </row>
        <row r="764">
          <cell r="A764">
            <v>2010109615</v>
          </cell>
          <cell r="N764" t="str">
            <v>Disabled-Light</v>
          </cell>
        </row>
        <row r="765">
          <cell r="A765">
            <v>2010109616</v>
          </cell>
          <cell r="N765" t="str">
            <v>Disabled-Light</v>
          </cell>
        </row>
        <row r="766">
          <cell r="A766">
            <v>2010109617</v>
          </cell>
          <cell r="N766" t="str">
            <v>Disabled-Light</v>
          </cell>
        </row>
        <row r="767">
          <cell r="A767">
            <v>2010109618</v>
          </cell>
          <cell r="N767" t="str">
            <v>Disabled-Light</v>
          </cell>
        </row>
        <row r="768">
          <cell r="A768">
            <v>2010109619</v>
          </cell>
          <cell r="N768" t="str">
            <v>Disabled-Light</v>
          </cell>
        </row>
        <row r="769">
          <cell r="A769">
            <v>2010109700</v>
          </cell>
          <cell r="N769" t="str">
            <v>Disabled-Dark</v>
          </cell>
        </row>
        <row r="770">
          <cell r="A770">
            <v>2010109701</v>
          </cell>
          <cell r="N770" t="str">
            <v>Disabled-Dark</v>
          </cell>
        </row>
        <row r="771">
          <cell r="A771">
            <v>2010109702</v>
          </cell>
          <cell r="N771" t="str">
            <v>Disabled-Dark</v>
          </cell>
        </row>
        <row r="772">
          <cell r="A772">
            <v>2010109703</v>
          </cell>
          <cell r="N772" t="str">
            <v>Disabled-Dark</v>
          </cell>
        </row>
        <row r="773">
          <cell r="A773">
            <v>2010109704</v>
          </cell>
          <cell r="N773" t="str">
            <v>Disabled-Dark</v>
          </cell>
        </row>
        <row r="774">
          <cell r="A774">
            <v>2010109705</v>
          </cell>
          <cell r="N774" t="str">
            <v>Disabled-Dark</v>
          </cell>
        </row>
        <row r="775">
          <cell r="A775">
            <v>2010109706</v>
          </cell>
          <cell r="N775" t="str">
            <v>Disabled-Dark</v>
          </cell>
        </row>
        <row r="776">
          <cell r="A776">
            <v>2010109707</v>
          </cell>
          <cell r="N776" t="str">
            <v>Disabled-Dark</v>
          </cell>
        </row>
        <row r="777">
          <cell r="A777">
            <v>2010109708</v>
          </cell>
          <cell r="N777" t="str">
            <v>Disabled-Dark</v>
          </cell>
        </row>
        <row r="778">
          <cell r="A778">
            <v>2010109709</v>
          </cell>
          <cell r="N778" t="str">
            <v>Disabled-Dark</v>
          </cell>
        </row>
        <row r="779">
          <cell r="A779">
            <v>2010109710</v>
          </cell>
          <cell r="N779" t="str">
            <v>Disabled-Dark</v>
          </cell>
        </row>
        <row r="780">
          <cell r="A780">
            <v>2010109711</v>
          </cell>
          <cell r="N780" t="str">
            <v>Disabled-Dark</v>
          </cell>
        </row>
        <row r="781">
          <cell r="A781">
            <v>2010109712</v>
          </cell>
          <cell r="N781" t="str">
            <v>Disabled-Dark</v>
          </cell>
        </row>
        <row r="782">
          <cell r="A782">
            <v>2010109713</v>
          </cell>
          <cell r="N782" t="str">
            <v>Disabled-Dark</v>
          </cell>
        </row>
        <row r="783">
          <cell r="A783">
            <v>2010109714</v>
          </cell>
          <cell r="N783" t="str">
            <v>Disabled-Dark</v>
          </cell>
        </row>
        <row r="784">
          <cell r="A784">
            <v>2010109715</v>
          </cell>
          <cell r="N784" t="str">
            <v>Disabled-Dark</v>
          </cell>
        </row>
        <row r="785">
          <cell r="A785">
            <v>2010109716</v>
          </cell>
          <cell r="N785" t="str">
            <v>Disabled-Dark</v>
          </cell>
        </row>
        <row r="786">
          <cell r="A786">
            <v>2010109717</v>
          </cell>
          <cell r="N786" t="str">
            <v>Disabled-Dark</v>
          </cell>
        </row>
        <row r="787">
          <cell r="A787">
            <v>2010109718</v>
          </cell>
          <cell r="N787" t="str">
            <v>Disabled-Dark</v>
          </cell>
        </row>
        <row r="788">
          <cell r="A788">
            <v>2010109719</v>
          </cell>
          <cell r="N788" t="str">
            <v>Disabled-Dark</v>
          </cell>
        </row>
        <row r="789">
          <cell r="A789">
            <v>2010110000</v>
          </cell>
          <cell r="N789" t="str">
            <v>Loading-Primary</v>
          </cell>
        </row>
        <row r="790">
          <cell r="A790">
            <v>2010110001</v>
          </cell>
          <cell r="N790" t="str">
            <v>Loading-Primary</v>
          </cell>
        </row>
        <row r="791">
          <cell r="A791">
            <v>2010110002</v>
          </cell>
          <cell r="N791" t="str">
            <v>Loading-Primary</v>
          </cell>
        </row>
        <row r="792">
          <cell r="A792">
            <v>2010110003</v>
          </cell>
          <cell r="N792" t="str">
            <v>Loading-Primary</v>
          </cell>
        </row>
        <row r="793">
          <cell r="A793">
            <v>2010110004</v>
          </cell>
          <cell r="N793" t="str">
            <v>Loading-Primary</v>
          </cell>
        </row>
        <row r="794">
          <cell r="A794">
            <v>2010110005</v>
          </cell>
          <cell r="N794" t="str">
            <v>Loading-Primary</v>
          </cell>
        </row>
        <row r="795">
          <cell r="A795">
            <v>2010110006</v>
          </cell>
          <cell r="N795" t="str">
            <v>Loading-Primary</v>
          </cell>
        </row>
        <row r="796">
          <cell r="A796">
            <v>2010110007</v>
          </cell>
          <cell r="N796" t="str">
            <v>Loading-Primary</v>
          </cell>
        </row>
        <row r="797">
          <cell r="A797">
            <v>2010110008</v>
          </cell>
          <cell r="N797" t="str">
            <v>Loading-Primary</v>
          </cell>
        </row>
        <row r="798">
          <cell r="A798">
            <v>2010110009</v>
          </cell>
          <cell r="N798" t="str">
            <v>Loading-Primary</v>
          </cell>
        </row>
        <row r="799">
          <cell r="A799">
            <v>2010110010</v>
          </cell>
          <cell r="N799" t="str">
            <v>Loading-Primary</v>
          </cell>
        </row>
        <row r="800">
          <cell r="A800">
            <v>2010110011</v>
          </cell>
          <cell r="N800" t="str">
            <v>Loading-Primary</v>
          </cell>
        </row>
        <row r="801">
          <cell r="A801">
            <v>2010110012</v>
          </cell>
          <cell r="N801" t="str">
            <v>Loading-Primary</v>
          </cell>
        </row>
        <row r="802">
          <cell r="A802">
            <v>2010110013</v>
          </cell>
          <cell r="N802" t="str">
            <v>Loading-Primary</v>
          </cell>
        </row>
        <row r="803">
          <cell r="A803">
            <v>2010110014</v>
          </cell>
          <cell r="N803" t="str">
            <v>Loading-Primary</v>
          </cell>
        </row>
        <row r="804">
          <cell r="A804">
            <v>2010110015</v>
          </cell>
          <cell r="N804" t="str">
            <v>Loading-Primary</v>
          </cell>
        </row>
        <row r="805">
          <cell r="A805">
            <v>2010110016</v>
          </cell>
          <cell r="N805" t="str">
            <v>Loading-Primary</v>
          </cell>
        </row>
        <row r="806">
          <cell r="A806">
            <v>2010110017</v>
          </cell>
          <cell r="N806" t="str">
            <v>Loading-Primary</v>
          </cell>
        </row>
        <row r="807">
          <cell r="A807">
            <v>2010110018</v>
          </cell>
          <cell r="N807" t="str">
            <v>Loading-Primary</v>
          </cell>
        </row>
        <row r="808">
          <cell r="A808">
            <v>2010110019</v>
          </cell>
          <cell r="N808" t="str">
            <v>Loading-Primary</v>
          </cell>
        </row>
        <row r="809">
          <cell r="A809">
            <v>2010110100</v>
          </cell>
          <cell r="N809" t="str">
            <v>Loading-Secondary</v>
          </cell>
        </row>
        <row r="810">
          <cell r="A810">
            <v>2010110101</v>
          </cell>
          <cell r="N810" t="str">
            <v>Loading-Secondary</v>
          </cell>
        </row>
        <row r="811">
          <cell r="A811">
            <v>2010110102</v>
          </cell>
          <cell r="N811" t="str">
            <v>Loading-Secondary</v>
          </cell>
        </row>
        <row r="812">
          <cell r="A812">
            <v>2010110103</v>
          </cell>
          <cell r="N812" t="str">
            <v>Loading-Secondary</v>
          </cell>
        </row>
        <row r="813">
          <cell r="A813">
            <v>2010110104</v>
          </cell>
          <cell r="N813" t="str">
            <v>Loading-Secondary</v>
          </cell>
        </row>
        <row r="814">
          <cell r="A814">
            <v>2010110105</v>
          </cell>
          <cell r="N814" t="str">
            <v>Loading-Secondary</v>
          </cell>
        </row>
        <row r="815">
          <cell r="A815">
            <v>2010110106</v>
          </cell>
          <cell r="N815" t="str">
            <v>Loading-Secondary</v>
          </cell>
        </row>
        <row r="816">
          <cell r="A816">
            <v>2010110107</v>
          </cell>
          <cell r="N816" t="str">
            <v>Loading-Secondary</v>
          </cell>
        </row>
        <row r="817">
          <cell r="A817">
            <v>2010110108</v>
          </cell>
          <cell r="N817" t="str">
            <v>Loading-Secondary</v>
          </cell>
        </row>
        <row r="818">
          <cell r="A818">
            <v>2010110109</v>
          </cell>
          <cell r="N818" t="str">
            <v>Loading-Secondary</v>
          </cell>
        </row>
        <row r="819">
          <cell r="A819">
            <v>2010110110</v>
          </cell>
          <cell r="N819" t="str">
            <v>Loading-Secondary</v>
          </cell>
        </row>
        <row r="820">
          <cell r="A820">
            <v>2010110111</v>
          </cell>
          <cell r="N820" t="str">
            <v>Loading-Secondary</v>
          </cell>
        </row>
        <row r="821">
          <cell r="A821">
            <v>2010110112</v>
          </cell>
          <cell r="N821" t="str">
            <v>Loading-Secondary</v>
          </cell>
        </row>
        <row r="822">
          <cell r="A822">
            <v>2010110113</v>
          </cell>
          <cell r="N822" t="str">
            <v>Loading-Secondary</v>
          </cell>
        </row>
        <row r="823">
          <cell r="A823">
            <v>2010110114</v>
          </cell>
          <cell r="N823" t="str">
            <v>Loading-Secondary</v>
          </cell>
        </row>
        <row r="824">
          <cell r="A824">
            <v>2010110115</v>
          </cell>
          <cell r="N824" t="str">
            <v>Loading-Secondary</v>
          </cell>
        </row>
        <row r="825">
          <cell r="A825">
            <v>2010110116</v>
          </cell>
          <cell r="N825" t="str">
            <v>Loading-Secondary</v>
          </cell>
        </row>
        <row r="826">
          <cell r="A826">
            <v>2010110117</v>
          </cell>
          <cell r="N826" t="str">
            <v>Loading-Secondary</v>
          </cell>
        </row>
        <row r="827">
          <cell r="A827">
            <v>2010110118</v>
          </cell>
          <cell r="N827" t="str">
            <v>Loading-Secondary</v>
          </cell>
        </row>
        <row r="828">
          <cell r="A828">
            <v>2010110119</v>
          </cell>
          <cell r="N828" t="str">
            <v>Loading-Secondary</v>
          </cell>
        </row>
        <row r="829">
          <cell r="A829">
            <v>2010110200</v>
          </cell>
          <cell r="N829" t="str">
            <v>Loading-Success</v>
          </cell>
        </row>
        <row r="830">
          <cell r="A830">
            <v>2010110201</v>
          </cell>
          <cell r="N830" t="str">
            <v>Loading-Success</v>
          </cell>
        </row>
        <row r="831">
          <cell r="A831">
            <v>2010110202</v>
          </cell>
          <cell r="N831" t="str">
            <v>Loading-Success</v>
          </cell>
        </row>
        <row r="832">
          <cell r="A832">
            <v>2010110203</v>
          </cell>
          <cell r="N832" t="str">
            <v>Loading-Success</v>
          </cell>
        </row>
        <row r="833">
          <cell r="A833">
            <v>2010110204</v>
          </cell>
          <cell r="N833" t="str">
            <v>Loading-Success</v>
          </cell>
        </row>
        <row r="834">
          <cell r="A834">
            <v>2010110205</v>
          </cell>
          <cell r="N834" t="str">
            <v>Loading-Success</v>
          </cell>
        </row>
        <row r="835">
          <cell r="A835">
            <v>2010110206</v>
          </cell>
          <cell r="N835" t="str">
            <v>Loading-Success</v>
          </cell>
        </row>
        <row r="836">
          <cell r="A836">
            <v>2010110207</v>
          </cell>
          <cell r="N836" t="str">
            <v>Loading-Success</v>
          </cell>
        </row>
        <row r="837">
          <cell r="A837">
            <v>2010110208</v>
          </cell>
          <cell r="N837" t="str">
            <v>Loading-Success</v>
          </cell>
        </row>
        <row r="838">
          <cell r="A838">
            <v>2010110209</v>
          </cell>
          <cell r="N838" t="str">
            <v>Loading-Success</v>
          </cell>
        </row>
        <row r="839">
          <cell r="A839">
            <v>2010110210</v>
          </cell>
          <cell r="N839" t="str">
            <v>Loading-Success</v>
          </cell>
        </row>
        <row r="840">
          <cell r="A840">
            <v>2010110211</v>
          </cell>
          <cell r="N840" t="str">
            <v>Loading-Success</v>
          </cell>
        </row>
        <row r="841">
          <cell r="A841">
            <v>2010110212</v>
          </cell>
          <cell r="N841" t="str">
            <v>Loading-Success</v>
          </cell>
        </row>
        <row r="842">
          <cell r="A842">
            <v>2010110213</v>
          </cell>
          <cell r="N842" t="str">
            <v>Loading-Success</v>
          </cell>
        </row>
        <row r="843">
          <cell r="A843">
            <v>2010110214</v>
          </cell>
          <cell r="N843" t="str">
            <v>Loading-Success</v>
          </cell>
        </row>
        <row r="844">
          <cell r="A844">
            <v>2010110215</v>
          </cell>
          <cell r="N844" t="str">
            <v>Loading-Success</v>
          </cell>
        </row>
        <row r="845">
          <cell r="A845">
            <v>2010110216</v>
          </cell>
          <cell r="N845" t="str">
            <v>Loading-Success</v>
          </cell>
        </row>
        <row r="846">
          <cell r="A846">
            <v>2010110217</v>
          </cell>
          <cell r="N846" t="str">
            <v>Loading-Success</v>
          </cell>
        </row>
        <row r="847">
          <cell r="A847">
            <v>2010110218</v>
          </cell>
          <cell r="N847" t="str">
            <v>Loading-Success</v>
          </cell>
        </row>
        <row r="848">
          <cell r="A848">
            <v>2010110219</v>
          </cell>
          <cell r="N848" t="str">
            <v>Loading-Success</v>
          </cell>
        </row>
        <row r="849">
          <cell r="A849">
            <v>2010110300</v>
          </cell>
          <cell r="N849" t="str">
            <v>Loading-Danger</v>
          </cell>
        </row>
        <row r="850">
          <cell r="A850">
            <v>2010110301</v>
          </cell>
          <cell r="N850" t="str">
            <v>Loading-Danger</v>
          </cell>
        </row>
        <row r="851">
          <cell r="A851">
            <v>2010110302</v>
          </cell>
          <cell r="N851" t="str">
            <v>Loading-Danger</v>
          </cell>
        </row>
        <row r="852">
          <cell r="A852">
            <v>2010110303</v>
          </cell>
          <cell r="N852" t="str">
            <v>Loading-Danger</v>
          </cell>
        </row>
        <row r="853">
          <cell r="A853">
            <v>2010110304</v>
          </cell>
          <cell r="N853" t="str">
            <v>Loading-Danger</v>
          </cell>
        </row>
        <row r="854">
          <cell r="A854">
            <v>2010110305</v>
          </cell>
          <cell r="N854" t="str">
            <v>Loading-Danger</v>
          </cell>
        </row>
        <row r="855">
          <cell r="A855">
            <v>2010110306</v>
          </cell>
          <cell r="N855" t="str">
            <v>Loading-Danger</v>
          </cell>
        </row>
        <row r="856">
          <cell r="A856">
            <v>2010110307</v>
          </cell>
          <cell r="N856" t="str">
            <v>Loading-Danger</v>
          </cell>
        </row>
        <row r="857">
          <cell r="A857">
            <v>2010110308</v>
          </cell>
          <cell r="N857" t="str">
            <v>Loading-Danger</v>
          </cell>
        </row>
        <row r="858">
          <cell r="A858">
            <v>2010110309</v>
          </cell>
          <cell r="N858" t="str">
            <v>Loading-Danger</v>
          </cell>
        </row>
        <row r="859">
          <cell r="A859">
            <v>2010110310</v>
          </cell>
          <cell r="N859" t="str">
            <v>Loading-Danger</v>
          </cell>
        </row>
        <row r="860">
          <cell r="A860">
            <v>2010110311</v>
          </cell>
          <cell r="N860" t="str">
            <v>Loading-Danger</v>
          </cell>
        </row>
        <row r="861">
          <cell r="A861">
            <v>2010110312</v>
          </cell>
          <cell r="N861" t="str">
            <v>Loading-Danger</v>
          </cell>
        </row>
        <row r="862">
          <cell r="A862">
            <v>2010110313</v>
          </cell>
          <cell r="N862" t="str">
            <v>Loading-Danger</v>
          </cell>
        </row>
        <row r="863">
          <cell r="A863">
            <v>2010110314</v>
          </cell>
          <cell r="N863" t="str">
            <v>Loading-Danger</v>
          </cell>
        </row>
        <row r="864">
          <cell r="A864">
            <v>2010110315</v>
          </cell>
          <cell r="N864" t="str">
            <v>Loading-Danger</v>
          </cell>
        </row>
        <row r="865">
          <cell r="A865">
            <v>2010110316</v>
          </cell>
          <cell r="N865" t="str">
            <v>Loading-Danger</v>
          </cell>
        </row>
        <row r="866">
          <cell r="A866">
            <v>2010110317</v>
          </cell>
          <cell r="N866" t="str">
            <v>Loading-Danger</v>
          </cell>
        </row>
        <row r="867">
          <cell r="A867">
            <v>2010110318</v>
          </cell>
          <cell r="N867" t="str">
            <v>Loading-Danger</v>
          </cell>
        </row>
        <row r="868">
          <cell r="A868">
            <v>2010110319</v>
          </cell>
          <cell r="N868" t="str">
            <v>Loading-Danger</v>
          </cell>
        </row>
        <row r="869">
          <cell r="A869">
            <v>2010110400</v>
          </cell>
          <cell r="N869" t="str">
            <v>Loading-Warning</v>
          </cell>
        </row>
        <row r="870">
          <cell r="A870">
            <v>2010110401</v>
          </cell>
          <cell r="N870" t="str">
            <v>Loading-Warning</v>
          </cell>
        </row>
        <row r="871">
          <cell r="A871">
            <v>2010110402</v>
          </cell>
          <cell r="N871" t="str">
            <v>Loading-Warning</v>
          </cell>
        </row>
        <row r="872">
          <cell r="A872">
            <v>2010110403</v>
          </cell>
          <cell r="N872" t="str">
            <v>Loading-Warning</v>
          </cell>
        </row>
        <row r="873">
          <cell r="A873">
            <v>2010110404</v>
          </cell>
          <cell r="N873" t="str">
            <v>Loading-Warning</v>
          </cell>
        </row>
        <row r="874">
          <cell r="A874">
            <v>2010110405</v>
          </cell>
          <cell r="N874" t="str">
            <v>Loading-Warning</v>
          </cell>
        </row>
        <row r="875">
          <cell r="A875">
            <v>2010110406</v>
          </cell>
          <cell r="N875" t="str">
            <v>Loading-Warning</v>
          </cell>
        </row>
        <row r="876">
          <cell r="A876">
            <v>2010110407</v>
          </cell>
          <cell r="N876" t="str">
            <v>Loading-Warning</v>
          </cell>
        </row>
        <row r="877">
          <cell r="A877">
            <v>2010110408</v>
          </cell>
          <cell r="N877" t="str">
            <v>Loading-Warning</v>
          </cell>
        </row>
        <row r="878">
          <cell r="A878">
            <v>2010110409</v>
          </cell>
          <cell r="N878" t="str">
            <v>Loading-Warning</v>
          </cell>
        </row>
        <row r="879">
          <cell r="A879">
            <v>2010110410</v>
          </cell>
          <cell r="N879" t="str">
            <v>Loading-Warning</v>
          </cell>
        </row>
        <row r="880">
          <cell r="A880">
            <v>2010110411</v>
          </cell>
          <cell r="N880" t="str">
            <v>Loading-Warning</v>
          </cell>
        </row>
        <row r="881">
          <cell r="A881">
            <v>2010110412</v>
          </cell>
          <cell r="N881" t="str">
            <v>Loading-Warning</v>
          </cell>
        </row>
        <row r="882">
          <cell r="A882">
            <v>2010110413</v>
          </cell>
          <cell r="N882" t="str">
            <v>Loading-Warning</v>
          </cell>
        </row>
        <row r="883">
          <cell r="A883">
            <v>2010110414</v>
          </cell>
          <cell r="N883" t="str">
            <v>Loading-Warning</v>
          </cell>
        </row>
        <row r="884">
          <cell r="A884">
            <v>2010110415</v>
          </cell>
          <cell r="N884" t="str">
            <v>Loading-Warning</v>
          </cell>
        </row>
        <row r="885">
          <cell r="A885">
            <v>2010110416</v>
          </cell>
          <cell r="N885" t="str">
            <v>Loading-Warning</v>
          </cell>
        </row>
        <row r="886">
          <cell r="A886">
            <v>2010110417</v>
          </cell>
          <cell r="N886" t="str">
            <v>Loading-Warning</v>
          </cell>
        </row>
        <row r="887">
          <cell r="A887">
            <v>2010110418</v>
          </cell>
          <cell r="N887" t="str">
            <v>Loading-Warning</v>
          </cell>
        </row>
        <row r="888">
          <cell r="A888">
            <v>2010110419</v>
          </cell>
          <cell r="N888" t="str">
            <v>Loading-Warning</v>
          </cell>
        </row>
        <row r="889">
          <cell r="A889">
            <v>2010110500</v>
          </cell>
          <cell r="N889" t="str">
            <v>Loading-Info</v>
          </cell>
        </row>
        <row r="890">
          <cell r="A890">
            <v>2010110501</v>
          </cell>
          <cell r="N890" t="str">
            <v>Loading-Info</v>
          </cell>
        </row>
        <row r="891">
          <cell r="A891">
            <v>2010110502</v>
          </cell>
          <cell r="N891" t="str">
            <v>Loading-Info</v>
          </cell>
        </row>
        <row r="892">
          <cell r="A892">
            <v>2010110503</v>
          </cell>
          <cell r="N892" t="str">
            <v>Loading-Info</v>
          </cell>
        </row>
        <row r="893">
          <cell r="A893">
            <v>2010110504</v>
          </cell>
          <cell r="N893" t="str">
            <v>Loading-Info</v>
          </cell>
        </row>
        <row r="894">
          <cell r="A894">
            <v>2010110505</v>
          </cell>
          <cell r="N894" t="str">
            <v>Loading-Info</v>
          </cell>
        </row>
        <row r="895">
          <cell r="A895">
            <v>2010110506</v>
          </cell>
          <cell r="N895" t="str">
            <v>Loading-Info</v>
          </cell>
        </row>
        <row r="896">
          <cell r="A896">
            <v>2010110507</v>
          </cell>
          <cell r="N896" t="str">
            <v>Loading-Info</v>
          </cell>
        </row>
        <row r="897">
          <cell r="A897">
            <v>2010110508</v>
          </cell>
          <cell r="N897" t="str">
            <v>Loading-Info</v>
          </cell>
        </row>
        <row r="898">
          <cell r="A898">
            <v>2010110509</v>
          </cell>
          <cell r="N898" t="str">
            <v>Loading-Info</v>
          </cell>
        </row>
        <row r="899">
          <cell r="A899">
            <v>2010110510</v>
          </cell>
          <cell r="N899" t="str">
            <v>Loading-Info</v>
          </cell>
        </row>
        <row r="900">
          <cell r="A900">
            <v>2010110511</v>
          </cell>
          <cell r="N900" t="str">
            <v>Loading-Info</v>
          </cell>
        </row>
        <row r="901">
          <cell r="A901">
            <v>2010110512</v>
          </cell>
          <cell r="N901" t="str">
            <v>Loading-Info</v>
          </cell>
        </row>
        <row r="902">
          <cell r="A902">
            <v>2010110513</v>
          </cell>
          <cell r="N902" t="str">
            <v>Loading-Info</v>
          </cell>
        </row>
        <row r="903">
          <cell r="A903">
            <v>2010110514</v>
          </cell>
          <cell r="N903" t="str">
            <v>Loading-Info</v>
          </cell>
        </row>
        <row r="904">
          <cell r="A904">
            <v>2010110515</v>
          </cell>
          <cell r="N904" t="str">
            <v>Loading-Info</v>
          </cell>
        </row>
        <row r="905">
          <cell r="A905">
            <v>2010110516</v>
          </cell>
          <cell r="N905" t="str">
            <v>Loading-Info</v>
          </cell>
        </row>
        <row r="906">
          <cell r="A906">
            <v>2010110517</v>
          </cell>
          <cell r="N906" t="str">
            <v>Loading-Info</v>
          </cell>
        </row>
        <row r="907">
          <cell r="A907">
            <v>2010110518</v>
          </cell>
          <cell r="N907" t="str">
            <v>Loading-Info</v>
          </cell>
        </row>
        <row r="908">
          <cell r="A908">
            <v>2010110519</v>
          </cell>
          <cell r="N908" t="str">
            <v>Loading-Info</v>
          </cell>
        </row>
        <row r="909">
          <cell r="A909">
            <v>2010110600</v>
          </cell>
          <cell r="N909" t="str">
            <v>Loading-Light</v>
          </cell>
        </row>
        <row r="910">
          <cell r="A910">
            <v>2010110601</v>
          </cell>
          <cell r="N910" t="str">
            <v>Loading-Light</v>
          </cell>
        </row>
        <row r="911">
          <cell r="A911">
            <v>2010110602</v>
          </cell>
          <cell r="N911" t="str">
            <v>Loading-Light</v>
          </cell>
        </row>
        <row r="912">
          <cell r="A912">
            <v>2010110603</v>
          </cell>
          <cell r="N912" t="str">
            <v>Loading-Light</v>
          </cell>
        </row>
        <row r="913">
          <cell r="A913">
            <v>2010110604</v>
          </cell>
          <cell r="N913" t="str">
            <v>Loading-Light</v>
          </cell>
        </row>
        <row r="914">
          <cell r="A914">
            <v>2010110605</v>
          </cell>
          <cell r="N914" t="str">
            <v>Loading-Light</v>
          </cell>
        </row>
        <row r="915">
          <cell r="A915">
            <v>2010110606</v>
          </cell>
          <cell r="N915" t="str">
            <v>Loading-Light</v>
          </cell>
        </row>
        <row r="916">
          <cell r="A916">
            <v>2010110607</v>
          </cell>
          <cell r="N916" t="str">
            <v>Loading-Light</v>
          </cell>
        </row>
        <row r="917">
          <cell r="A917">
            <v>2010110608</v>
          </cell>
          <cell r="N917" t="str">
            <v>Loading-Light</v>
          </cell>
        </row>
        <row r="918">
          <cell r="A918">
            <v>2010110609</v>
          </cell>
          <cell r="N918" t="str">
            <v>Loading-Light</v>
          </cell>
        </row>
        <row r="919">
          <cell r="A919">
            <v>2010110610</v>
          </cell>
          <cell r="N919" t="str">
            <v>Loading-Light</v>
          </cell>
        </row>
        <row r="920">
          <cell r="A920">
            <v>2010110611</v>
          </cell>
          <cell r="N920" t="str">
            <v>Loading-Light</v>
          </cell>
        </row>
        <row r="921">
          <cell r="A921">
            <v>2010110612</v>
          </cell>
          <cell r="N921" t="str">
            <v>Loading-Light</v>
          </cell>
        </row>
        <row r="922">
          <cell r="A922">
            <v>2010110613</v>
          </cell>
          <cell r="N922" t="str">
            <v>Loading-Light</v>
          </cell>
        </row>
        <row r="923">
          <cell r="A923">
            <v>2010110614</v>
          </cell>
          <cell r="N923" t="str">
            <v>Loading-Light</v>
          </cell>
        </row>
        <row r="924">
          <cell r="A924">
            <v>2010110615</v>
          </cell>
          <cell r="N924" t="str">
            <v>Loading-Light</v>
          </cell>
        </row>
        <row r="925">
          <cell r="A925">
            <v>2010110616</v>
          </cell>
          <cell r="N925" t="str">
            <v>Loading-Light</v>
          </cell>
        </row>
        <row r="926">
          <cell r="A926">
            <v>2010110617</v>
          </cell>
          <cell r="N926" t="str">
            <v>Loading-Light</v>
          </cell>
        </row>
        <row r="927">
          <cell r="A927">
            <v>2010110618</v>
          </cell>
          <cell r="N927" t="str">
            <v>Loading-Light</v>
          </cell>
        </row>
        <row r="928">
          <cell r="A928">
            <v>2010110619</v>
          </cell>
          <cell r="N928" t="str">
            <v>Loading-Light</v>
          </cell>
        </row>
        <row r="929">
          <cell r="A929">
            <v>2010110700</v>
          </cell>
          <cell r="N929" t="str">
            <v>Loading-Dark</v>
          </cell>
        </row>
        <row r="930">
          <cell r="A930">
            <v>2010110701</v>
          </cell>
          <cell r="N930" t="str">
            <v>Loading-Dark</v>
          </cell>
        </row>
        <row r="931">
          <cell r="A931">
            <v>2010110702</v>
          </cell>
          <cell r="N931" t="str">
            <v>Loading-Dark</v>
          </cell>
        </row>
        <row r="932">
          <cell r="A932">
            <v>2010110703</v>
          </cell>
          <cell r="N932" t="str">
            <v>Loading-Dark</v>
          </cell>
        </row>
        <row r="933">
          <cell r="A933">
            <v>2010110704</v>
          </cell>
          <cell r="N933" t="str">
            <v>Loading-Dark</v>
          </cell>
        </row>
        <row r="934">
          <cell r="A934">
            <v>2010110705</v>
          </cell>
          <cell r="N934" t="str">
            <v>Loading-Dark</v>
          </cell>
        </row>
        <row r="935">
          <cell r="A935">
            <v>2010110706</v>
          </cell>
          <cell r="N935" t="str">
            <v>Loading-Dark</v>
          </cell>
        </row>
        <row r="936">
          <cell r="A936">
            <v>2010110707</v>
          </cell>
          <cell r="N936" t="str">
            <v>Loading-Dark</v>
          </cell>
        </row>
        <row r="937">
          <cell r="A937">
            <v>2010110708</v>
          </cell>
          <cell r="N937" t="str">
            <v>Loading-Dark</v>
          </cell>
        </row>
        <row r="938">
          <cell r="A938">
            <v>2010110709</v>
          </cell>
          <cell r="N938" t="str">
            <v>Loading-Dark</v>
          </cell>
        </row>
        <row r="939">
          <cell r="A939">
            <v>2010110710</v>
          </cell>
          <cell r="N939" t="str">
            <v>Loading-Dark</v>
          </cell>
        </row>
        <row r="940">
          <cell r="A940">
            <v>2010110711</v>
          </cell>
          <cell r="N940" t="str">
            <v>Loading-Dark</v>
          </cell>
        </row>
        <row r="941">
          <cell r="A941">
            <v>2010110712</v>
          </cell>
          <cell r="N941" t="str">
            <v>Loading-Dark</v>
          </cell>
        </row>
        <row r="942">
          <cell r="A942">
            <v>2010110713</v>
          </cell>
          <cell r="N942" t="str">
            <v>Loading-Dark</v>
          </cell>
        </row>
        <row r="943">
          <cell r="A943">
            <v>2010110714</v>
          </cell>
          <cell r="N943" t="str">
            <v>Loading-Dark</v>
          </cell>
        </row>
        <row r="944">
          <cell r="A944">
            <v>2010110715</v>
          </cell>
          <cell r="N944" t="str">
            <v>Loading-Dark</v>
          </cell>
        </row>
        <row r="945">
          <cell r="A945">
            <v>2010110716</v>
          </cell>
          <cell r="N945" t="str">
            <v>Loading-Dark</v>
          </cell>
        </row>
        <row r="946">
          <cell r="A946">
            <v>2010110717</v>
          </cell>
          <cell r="N946" t="str">
            <v>Loading-Dark</v>
          </cell>
        </row>
        <row r="947">
          <cell r="A947">
            <v>2010110718</v>
          </cell>
          <cell r="N947" t="str">
            <v>Loading-Dark</v>
          </cell>
        </row>
        <row r="948">
          <cell r="A948">
            <v>2010110719</v>
          </cell>
          <cell r="N948" t="str">
            <v>Loading-Dark</v>
          </cell>
        </row>
        <row r="949">
          <cell r="A949">
            <v>2010110800</v>
          </cell>
          <cell r="N949" t="str">
            <v>Loading-Primary-Outline</v>
          </cell>
        </row>
        <row r="950">
          <cell r="A950">
            <v>2010110801</v>
          </cell>
          <cell r="N950" t="str">
            <v>Loading-Primary-Outline</v>
          </cell>
        </row>
        <row r="951">
          <cell r="A951">
            <v>2010110802</v>
          </cell>
          <cell r="N951" t="str">
            <v>Loading-Primary-Outline</v>
          </cell>
        </row>
        <row r="952">
          <cell r="A952">
            <v>2010110803</v>
          </cell>
          <cell r="N952" t="str">
            <v>Loading-Primary-Outline</v>
          </cell>
        </row>
        <row r="953">
          <cell r="A953">
            <v>2010110804</v>
          </cell>
          <cell r="N953" t="str">
            <v>Loading-Primary-Outline</v>
          </cell>
        </row>
        <row r="954">
          <cell r="A954">
            <v>2010110805</v>
          </cell>
          <cell r="N954" t="str">
            <v>Loading-Primary-Outline</v>
          </cell>
        </row>
        <row r="955">
          <cell r="A955">
            <v>2010110806</v>
          </cell>
          <cell r="N955" t="str">
            <v>Loading-Primary-Outline</v>
          </cell>
        </row>
        <row r="956">
          <cell r="A956">
            <v>2010110807</v>
          </cell>
          <cell r="N956" t="str">
            <v>Loading-Primary-Outline</v>
          </cell>
        </row>
        <row r="957">
          <cell r="A957">
            <v>2010110808</v>
          </cell>
          <cell r="N957" t="str">
            <v>Loading-Primary-Outline</v>
          </cell>
        </row>
        <row r="958">
          <cell r="A958">
            <v>2010110809</v>
          </cell>
          <cell r="N958" t="str">
            <v>Loading-Primary-Outline</v>
          </cell>
        </row>
        <row r="959">
          <cell r="A959">
            <v>2010110810</v>
          </cell>
          <cell r="N959" t="str">
            <v>Loading-Primary-Outline</v>
          </cell>
        </row>
        <row r="960">
          <cell r="A960">
            <v>2010110811</v>
          </cell>
          <cell r="N960" t="str">
            <v>Loading-Primary-Outline</v>
          </cell>
        </row>
        <row r="961">
          <cell r="A961">
            <v>2010110812</v>
          </cell>
          <cell r="N961" t="str">
            <v>Loading-Primary-Outline</v>
          </cell>
        </row>
        <row r="962">
          <cell r="A962">
            <v>2010110813</v>
          </cell>
          <cell r="N962" t="str">
            <v>Loading-Primary-Outline</v>
          </cell>
        </row>
        <row r="963">
          <cell r="A963">
            <v>2010110814</v>
          </cell>
          <cell r="N963" t="str">
            <v>Loading-Primary-Outline</v>
          </cell>
        </row>
        <row r="964">
          <cell r="A964">
            <v>2010110815</v>
          </cell>
          <cell r="N964" t="str">
            <v>Loading-Primary-Outline</v>
          </cell>
        </row>
        <row r="965">
          <cell r="A965">
            <v>2010110816</v>
          </cell>
          <cell r="N965" t="str">
            <v>Loading-Primary-Outline</v>
          </cell>
        </row>
        <row r="966">
          <cell r="A966">
            <v>2010110817</v>
          </cell>
          <cell r="N966" t="str">
            <v>Loading-Primary-Outline</v>
          </cell>
        </row>
        <row r="967">
          <cell r="A967">
            <v>2010110818</v>
          </cell>
          <cell r="N967" t="str">
            <v>Loading-Primary-Outline</v>
          </cell>
        </row>
        <row r="968">
          <cell r="A968">
            <v>2010110819</v>
          </cell>
          <cell r="N968" t="str">
            <v>Loading-Primary-Outline</v>
          </cell>
        </row>
        <row r="969">
          <cell r="A969">
            <v>2010110900</v>
          </cell>
          <cell r="N969" t="str">
            <v>Loading-Secondary-Outline</v>
          </cell>
        </row>
        <row r="970">
          <cell r="A970">
            <v>2010110901</v>
          </cell>
          <cell r="N970" t="str">
            <v>Loading-Secondary-Outline</v>
          </cell>
        </row>
        <row r="971">
          <cell r="A971">
            <v>2010110902</v>
          </cell>
          <cell r="N971" t="str">
            <v>Loading-Secondary-Outline</v>
          </cell>
        </row>
        <row r="972">
          <cell r="A972">
            <v>2010110903</v>
          </cell>
          <cell r="N972" t="str">
            <v>Loading-Secondary-Outline</v>
          </cell>
        </row>
        <row r="973">
          <cell r="A973">
            <v>2010110904</v>
          </cell>
          <cell r="N973" t="str">
            <v>Loading-Secondary-Outline</v>
          </cell>
        </row>
        <row r="974">
          <cell r="A974">
            <v>2010110905</v>
          </cell>
          <cell r="N974" t="str">
            <v>Loading-Secondary-Outline</v>
          </cell>
        </row>
        <row r="975">
          <cell r="A975">
            <v>2010110906</v>
          </cell>
          <cell r="N975" t="str">
            <v>Loading-Secondary-Outline</v>
          </cell>
        </row>
        <row r="976">
          <cell r="A976">
            <v>2010110907</v>
          </cell>
          <cell r="N976" t="str">
            <v>Loading-Secondary-Outline</v>
          </cell>
        </row>
        <row r="977">
          <cell r="A977">
            <v>2010110908</v>
          </cell>
          <cell r="N977" t="str">
            <v>Loading-Secondary-Outline</v>
          </cell>
        </row>
        <row r="978">
          <cell r="A978">
            <v>2010110909</v>
          </cell>
          <cell r="N978" t="str">
            <v>Loading-Secondary-Outline</v>
          </cell>
        </row>
        <row r="979">
          <cell r="A979">
            <v>2010110910</v>
          </cell>
          <cell r="N979" t="str">
            <v>Loading-Secondary-Outline</v>
          </cell>
        </row>
        <row r="980">
          <cell r="A980">
            <v>2010110911</v>
          </cell>
          <cell r="N980" t="str">
            <v>Loading-Secondary-Outline</v>
          </cell>
        </row>
        <row r="981">
          <cell r="A981">
            <v>2010110912</v>
          </cell>
          <cell r="N981" t="str">
            <v>Loading-Secondary-Outline</v>
          </cell>
        </row>
        <row r="982">
          <cell r="A982">
            <v>2010110913</v>
          </cell>
          <cell r="N982" t="str">
            <v>Loading-Secondary-Outline</v>
          </cell>
        </row>
        <row r="983">
          <cell r="A983">
            <v>2010110914</v>
          </cell>
          <cell r="N983" t="str">
            <v>Loading-Secondary-Outline</v>
          </cell>
        </row>
        <row r="984">
          <cell r="A984">
            <v>2010110915</v>
          </cell>
          <cell r="N984" t="str">
            <v>Loading-Secondary-Outline</v>
          </cell>
        </row>
        <row r="985">
          <cell r="A985">
            <v>2010110916</v>
          </cell>
          <cell r="N985" t="str">
            <v>Loading-Secondary-Outline</v>
          </cell>
        </row>
        <row r="986">
          <cell r="A986">
            <v>2010110917</v>
          </cell>
          <cell r="N986" t="str">
            <v>Loading-Secondary-Outline</v>
          </cell>
        </row>
        <row r="987">
          <cell r="A987">
            <v>2010110918</v>
          </cell>
          <cell r="N987" t="str">
            <v>Loading-Secondary-Outline</v>
          </cell>
        </row>
        <row r="988">
          <cell r="A988">
            <v>2010110919</v>
          </cell>
          <cell r="N988" t="str">
            <v>Loading-Secondary-Outline</v>
          </cell>
        </row>
        <row r="989">
          <cell r="A989">
            <v>2010114000</v>
          </cell>
          <cell r="N989" t="str">
            <v>Action-Button</v>
          </cell>
        </row>
        <row r="990">
          <cell r="A990">
            <v>2010114001</v>
          </cell>
          <cell r="N990" t="str">
            <v>Action-Button</v>
          </cell>
        </row>
        <row r="991">
          <cell r="A991">
            <v>2010114002</v>
          </cell>
          <cell r="N991" t="str">
            <v>Action-Button</v>
          </cell>
        </row>
        <row r="992">
          <cell r="A992">
            <v>2010114003</v>
          </cell>
          <cell r="N992" t="str">
            <v>Action-Button</v>
          </cell>
        </row>
        <row r="993">
          <cell r="A993">
            <v>2010114004</v>
          </cell>
          <cell r="N993" t="str">
            <v>Action-Button</v>
          </cell>
        </row>
        <row r="994">
          <cell r="A994">
            <v>2010114005</v>
          </cell>
          <cell r="N994" t="str">
            <v>Action-Button</v>
          </cell>
        </row>
        <row r="995">
          <cell r="A995">
            <v>2010114006</v>
          </cell>
          <cell r="N995" t="str">
            <v>Action-Button</v>
          </cell>
        </row>
        <row r="996">
          <cell r="A996">
            <v>2010114007</v>
          </cell>
          <cell r="N996" t="str">
            <v>Action-Button</v>
          </cell>
        </row>
        <row r="997">
          <cell r="A997">
            <v>2010114008</v>
          </cell>
          <cell r="N997" t="str">
            <v>Action-Button</v>
          </cell>
        </row>
        <row r="998">
          <cell r="A998">
            <v>2010114009</v>
          </cell>
          <cell r="N998" t="str">
            <v>Action-Button</v>
          </cell>
        </row>
        <row r="999">
          <cell r="A999">
            <v>2010114010</v>
          </cell>
          <cell r="N999" t="str">
            <v>Action-Button</v>
          </cell>
        </row>
        <row r="1000">
          <cell r="A1000">
            <v>2010114011</v>
          </cell>
          <cell r="N1000" t="str">
            <v>Action-Button</v>
          </cell>
        </row>
        <row r="1001">
          <cell r="A1001">
            <v>2010114012</v>
          </cell>
          <cell r="N1001" t="str">
            <v>Action-Button</v>
          </cell>
        </row>
        <row r="1002">
          <cell r="A1002">
            <v>2010114013</v>
          </cell>
          <cell r="N1002" t="str">
            <v>Action-Button</v>
          </cell>
        </row>
        <row r="1003">
          <cell r="A1003">
            <v>2010114014</v>
          </cell>
          <cell r="N1003" t="str">
            <v>Action-Button</v>
          </cell>
        </row>
        <row r="1004">
          <cell r="A1004">
            <v>2010114015</v>
          </cell>
          <cell r="N1004" t="str">
            <v>Action-Button</v>
          </cell>
        </row>
        <row r="1005">
          <cell r="A1005">
            <v>2010114016</v>
          </cell>
          <cell r="N1005" t="str">
            <v>Action-Button</v>
          </cell>
        </row>
        <row r="1006">
          <cell r="A1006">
            <v>2010114017</v>
          </cell>
          <cell r="N1006" t="str">
            <v>Action-Button</v>
          </cell>
        </row>
        <row r="1007">
          <cell r="A1007">
            <v>2010114018</v>
          </cell>
          <cell r="N1007" t="str">
            <v>Action-Button</v>
          </cell>
        </row>
        <row r="1008">
          <cell r="A1008">
            <v>2010114019</v>
          </cell>
          <cell r="N1008" t="str">
            <v>Action-Button</v>
          </cell>
        </row>
        <row r="1009">
          <cell r="A1009">
            <v>2010114100</v>
          </cell>
          <cell r="N1009" t="str">
            <v>Action-Button</v>
          </cell>
        </row>
        <row r="1010">
          <cell r="A1010">
            <v>2010114101</v>
          </cell>
          <cell r="N1010" t="str">
            <v>Action-Button</v>
          </cell>
        </row>
        <row r="1011">
          <cell r="A1011">
            <v>2010114102</v>
          </cell>
          <cell r="N1011" t="str">
            <v>Action-Button</v>
          </cell>
        </row>
        <row r="1012">
          <cell r="A1012">
            <v>2010114103</v>
          </cell>
          <cell r="N1012" t="str">
            <v>Action-Button</v>
          </cell>
        </row>
        <row r="1013">
          <cell r="A1013">
            <v>2010114104</v>
          </cell>
          <cell r="N1013" t="str">
            <v>Action-Button</v>
          </cell>
        </row>
        <row r="1014">
          <cell r="A1014">
            <v>2010114105</v>
          </cell>
          <cell r="N1014" t="str">
            <v>Action-Button</v>
          </cell>
        </row>
        <row r="1015">
          <cell r="A1015">
            <v>2010114106</v>
          </cell>
          <cell r="N1015" t="str">
            <v>Action-Button</v>
          </cell>
        </row>
        <row r="1016">
          <cell r="A1016">
            <v>2010114107</v>
          </cell>
          <cell r="N1016" t="str">
            <v>Action-Button</v>
          </cell>
        </row>
        <row r="1017">
          <cell r="A1017">
            <v>2010114108</v>
          </cell>
          <cell r="N1017" t="str">
            <v>Action-Button</v>
          </cell>
        </row>
        <row r="1018">
          <cell r="A1018">
            <v>2010114109</v>
          </cell>
          <cell r="N1018" t="str">
            <v>Action-Button</v>
          </cell>
        </row>
        <row r="1019">
          <cell r="A1019">
            <v>2010114110</v>
          </cell>
          <cell r="N1019" t="str">
            <v>Action-Button</v>
          </cell>
        </row>
        <row r="1020">
          <cell r="A1020">
            <v>2010114111</v>
          </cell>
          <cell r="N1020" t="str">
            <v>Action-Button</v>
          </cell>
        </row>
        <row r="1021">
          <cell r="A1021">
            <v>2010114112</v>
          </cell>
          <cell r="N1021" t="str">
            <v>Action-Button</v>
          </cell>
        </row>
        <row r="1022">
          <cell r="A1022">
            <v>2010114113</v>
          </cell>
          <cell r="N1022" t="str">
            <v>Action-Button</v>
          </cell>
        </row>
        <row r="1023">
          <cell r="A1023">
            <v>2010114114</v>
          </cell>
          <cell r="N1023" t="str">
            <v>Action-Button</v>
          </cell>
        </row>
        <row r="1024">
          <cell r="A1024">
            <v>2010114115</v>
          </cell>
          <cell r="N1024" t="str">
            <v>Action-Button</v>
          </cell>
        </row>
        <row r="1025">
          <cell r="A1025">
            <v>2010114116</v>
          </cell>
          <cell r="N1025" t="str">
            <v>Action-Button</v>
          </cell>
        </row>
        <row r="1026">
          <cell r="A1026">
            <v>2010114117</v>
          </cell>
          <cell r="N1026" t="str">
            <v>Action-Button</v>
          </cell>
        </row>
        <row r="1027">
          <cell r="A1027">
            <v>2010114118</v>
          </cell>
          <cell r="N1027" t="str">
            <v>Action-Button</v>
          </cell>
        </row>
        <row r="1028">
          <cell r="A1028">
            <v>2010114119</v>
          </cell>
          <cell r="N1028" t="str">
            <v>Action-Button</v>
          </cell>
        </row>
        <row r="1029">
          <cell r="A1029">
            <v>2010114200</v>
          </cell>
          <cell r="N1029" t="str">
            <v>Action-Button</v>
          </cell>
        </row>
        <row r="1030">
          <cell r="A1030">
            <v>2010114201</v>
          </cell>
          <cell r="N1030" t="str">
            <v>Action-Button</v>
          </cell>
        </row>
        <row r="1031">
          <cell r="A1031">
            <v>2010114202</v>
          </cell>
          <cell r="N1031" t="str">
            <v>Action-Button</v>
          </cell>
        </row>
        <row r="1032">
          <cell r="A1032">
            <v>2010114203</v>
          </cell>
          <cell r="N1032" t="str">
            <v>Action-Button</v>
          </cell>
        </row>
        <row r="1033">
          <cell r="A1033">
            <v>2010114204</v>
          </cell>
          <cell r="N1033" t="str">
            <v>Action-Button</v>
          </cell>
        </row>
        <row r="1034">
          <cell r="A1034">
            <v>2010114205</v>
          </cell>
          <cell r="N1034" t="str">
            <v>Action-Button</v>
          </cell>
        </row>
        <row r="1035">
          <cell r="A1035">
            <v>2010114206</v>
          </cell>
          <cell r="N1035" t="str">
            <v>Action-Button</v>
          </cell>
        </row>
        <row r="1036">
          <cell r="A1036">
            <v>2010114207</v>
          </cell>
          <cell r="N1036" t="str">
            <v>Action-Button</v>
          </cell>
        </row>
        <row r="1037">
          <cell r="A1037">
            <v>2010114208</v>
          </cell>
          <cell r="N1037" t="str">
            <v>Action-Button</v>
          </cell>
        </row>
        <row r="1038">
          <cell r="A1038">
            <v>2010114209</v>
          </cell>
          <cell r="N1038" t="str">
            <v>Action-Button</v>
          </cell>
        </row>
        <row r="1039">
          <cell r="A1039">
            <v>2010114210</v>
          </cell>
          <cell r="N1039" t="str">
            <v>Action-Button</v>
          </cell>
        </row>
        <row r="1040">
          <cell r="A1040">
            <v>2010114211</v>
          </cell>
          <cell r="N1040" t="str">
            <v>Action-Button</v>
          </cell>
        </row>
        <row r="1041">
          <cell r="A1041">
            <v>2010114212</v>
          </cell>
          <cell r="N1041" t="str">
            <v>Action-Button</v>
          </cell>
        </row>
        <row r="1042">
          <cell r="A1042">
            <v>2010114213</v>
          </cell>
          <cell r="N1042" t="str">
            <v>Action-Button</v>
          </cell>
        </row>
        <row r="1043">
          <cell r="A1043">
            <v>2010114214</v>
          </cell>
          <cell r="N1043" t="str">
            <v>Action-Button</v>
          </cell>
        </row>
        <row r="1044">
          <cell r="A1044">
            <v>2010114215</v>
          </cell>
          <cell r="N1044" t="str">
            <v>Action-Button</v>
          </cell>
        </row>
        <row r="1045">
          <cell r="A1045">
            <v>2010114216</v>
          </cell>
          <cell r="N1045" t="str">
            <v>Action-Button</v>
          </cell>
        </row>
        <row r="1046">
          <cell r="A1046">
            <v>2010114217</v>
          </cell>
          <cell r="N1046" t="str">
            <v>Action-Button</v>
          </cell>
        </row>
        <row r="1047">
          <cell r="A1047">
            <v>2010114218</v>
          </cell>
          <cell r="N1047" t="str">
            <v>Action-Button</v>
          </cell>
        </row>
        <row r="1048">
          <cell r="A1048">
            <v>2010114219</v>
          </cell>
          <cell r="N1048" t="str">
            <v>Action-Button</v>
          </cell>
        </row>
        <row r="1049">
          <cell r="A1049">
            <v>2010114300</v>
          </cell>
          <cell r="N1049" t="str">
            <v>Action-Button</v>
          </cell>
        </row>
        <row r="1050">
          <cell r="A1050">
            <v>2010114301</v>
          </cell>
          <cell r="N1050" t="str">
            <v>Action-Button</v>
          </cell>
        </row>
        <row r="1051">
          <cell r="A1051">
            <v>2010114302</v>
          </cell>
          <cell r="N1051" t="str">
            <v>Action-Button</v>
          </cell>
        </row>
        <row r="1052">
          <cell r="A1052">
            <v>2010114303</v>
          </cell>
          <cell r="N1052" t="str">
            <v>Action-Button</v>
          </cell>
        </row>
        <row r="1053">
          <cell r="A1053">
            <v>2010114304</v>
          </cell>
          <cell r="N1053" t="str">
            <v>Action-Button</v>
          </cell>
        </row>
        <row r="1054">
          <cell r="A1054">
            <v>2010114305</v>
          </cell>
          <cell r="N1054" t="str">
            <v>Action-Button</v>
          </cell>
        </row>
        <row r="1055">
          <cell r="A1055">
            <v>2010114306</v>
          </cell>
          <cell r="N1055" t="str">
            <v>Action-Button</v>
          </cell>
        </row>
        <row r="1056">
          <cell r="A1056">
            <v>2010114307</v>
          </cell>
          <cell r="N1056" t="str">
            <v>Action-Button</v>
          </cell>
        </row>
        <row r="1057">
          <cell r="A1057">
            <v>2010114308</v>
          </cell>
          <cell r="N1057" t="str">
            <v>Action-Button</v>
          </cell>
        </row>
        <row r="1058">
          <cell r="A1058">
            <v>2010114309</v>
          </cell>
          <cell r="N1058" t="str">
            <v>Action-Button</v>
          </cell>
        </row>
        <row r="1059">
          <cell r="A1059">
            <v>2010114310</v>
          </cell>
          <cell r="N1059" t="str">
            <v>Action-Button</v>
          </cell>
        </row>
        <row r="1060">
          <cell r="A1060">
            <v>2010114311</v>
          </cell>
          <cell r="N1060" t="str">
            <v>Action-Button</v>
          </cell>
        </row>
        <row r="1061">
          <cell r="A1061">
            <v>2010114312</v>
          </cell>
          <cell r="N1061" t="str">
            <v>Action-Button</v>
          </cell>
        </row>
        <row r="1062">
          <cell r="A1062">
            <v>2010114313</v>
          </cell>
          <cell r="N1062" t="str">
            <v>Action-Button</v>
          </cell>
        </row>
        <row r="1063">
          <cell r="A1063">
            <v>2010114314</v>
          </cell>
          <cell r="N1063" t="str">
            <v>Action-Button</v>
          </cell>
        </row>
        <row r="1064">
          <cell r="A1064">
            <v>2010114315</v>
          </cell>
          <cell r="N1064" t="str">
            <v>Action-Button</v>
          </cell>
        </row>
        <row r="1065">
          <cell r="A1065">
            <v>2010114316</v>
          </cell>
          <cell r="N1065" t="str">
            <v>Action-Button</v>
          </cell>
        </row>
        <row r="1066">
          <cell r="A1066">
            <v>2010114317</v>
          </cell>
          <cell r="N1066" t="str">
            <v>Action-Button</v>
          </cell>
        </row>
        <row r="1067">
          <cell r="A1067">
            <v>2010114318</v>
          </cell>
          <cell r="N1067" t="str">
            <v>Action-Button</v>
          </cell>
        </row>
        <row r="1068">
          <cell r="A1068">
            <v>2010114319</v>
          </cell>
          <cell r="N1068" t="str">
            <v>Action-Button</v>
          </cell>
        </row>
        <row r="1069">
          <cell r="A1069">
            <v>2100112000</v>
          </cell>
          <cell r="N1069" t="str">
            <v>Button-Size-Small</v>
          </cell>
        </row>
        <row r="1070">
          <cell r="A1070">
            <v>2100112001</v>
          </cell>
          <cell r="N1070" t="str">
            <v>Button-Size-Small</v>
          </cell>
        </row>
        <row r="1071">
          <cell r="A1071">
            <v>2100112002</v>
          </cell>
          <cell r="N1071" t="str">
            <v>Button-Size-Small</v>
          </cell>
        </row>
        <row r="1072">
          <cell r="A1072">
            <v>2100112003</v>
          </cell>
          <cell r="N1072" t="str">
            <v>Button-Size-Small</v>
          </cell>
        </row>
        <row r="1073">
          <cell r="A1073">
            <v>2100112004</v>
          </cell>
          <cell r="N1073" t="str">
            <v>Button-Size-Small</v>
          </cell>
        </row>
        <row r="1074">
          <cell r="A1074">
            <v>2100112005</v>
          </cell>
          <cell r="N1074" t="str">
            <v>Button-Size-Small</v>
          </cell>
        </row>
        <row r="1075">
          <cell r="A1075">
            <v>2100112006</v>
          </cell>
          <cell r="N1075" t="str">
            <v>Button-Size-Small</v>
          </cell>
        </row>
        <row r="1076">
          <cell r="A1076">
            <v>2100112007</v>
          </cell>
          <cell r="N1076" t="str">
            <v>Button-Size-Small</v>
          </cell>
        </row>
        <row r="1077">
          <cell r="A1077">
            <v>2100112008</v>
          </cell>
          <cell r="N1077" t="str">
            <v>Button-Size-Small</v>
          </cell>
        </row>
        <row r="1078">
          <cell r="A1078">
            <v>2100112009</v>
          </cell>
          <cell r="N1078" t="str">
            <v>Button-Size-Small</v>
          </cell>
        </row>
        <row r="1079">
          <cell r="A1079">
            <v>2100112010</v>
          </cell>
          <cell r="N1079" t="str">
            <v>Button-Size-Small</v>
          </cell>
        </row>
        <row r="1080">
          <cell r="A1080">
            <v>2100112011</v>
          </cell>
          <cell r="N1080" t="str">
            <v>Button-Size-Small</v>
          </cell>
        </row>
        <row r="1081">
          <cell r="A1081">
            <v>2100112012</v>
          </cell>
          <cell r="N1081" t="str">
            <v>Button-Size-Small</v>
          </cell>
        </row>
        <row r="1082">
          <cell r="A1082">
            <v>2100112013</v>
          </cell>
          <cell r="N1082" t="str">
            <v>Button-Size-Small</v>
          </cell>
        </row>
        <row r="1083">
          <cell r="A1083">
            <v>2100112014</v>
          </cell>
          <cell r="N1083" t="str">
            <v>Button-Size-Small</v>
          </cell>
        </row>
        <row r="1084">
          <cell r="A1084">
            <v>2100112015</v>
          </cell>
          <cell r="N1084" t="str">
            <v>Button-Size-Small</v>
          </cell>
        </row>
        <row r="1085">
          <cell r="A1085">
            <v>2100112016</v>
          </cell>
          <cell r="N1085" t="str">
            <v>Button-Size-Small</v>
          </cell>
        </row>
        <row r="1086">
          <cell r="A1086">
            <v>2100112017</v>
          </cell>
          <cell r="N1086" t="str">
            <v>Button-Size-Small</v>
          </cell>
        </row>
        <row r="1087">
          <cell r="A1087">
            <v>2100112018</v>
          </cell>
          <cell r="N1087" t="str">
            <v>Button-Size-Small</v>
          </cell>
        </row>
        <row r="1088">
          <cell r="A1088">
            <v>2100112019</v>
          </cell>
          <cell r="N1088" t="str">
            <v>Button-Size-Small</v>
          </cell>
        </row>
        <row r="1089">
          <cell r="A1089">
            <v>2100112100</v>
          </cell>
          <cell r="N1089" t="str">
            <v>Button-Size-Medium</v>
          </cell>
        </row>
        <row r="1090">
          <cell r="A1090">
            <v>2100112101</v>
          </cell>
          <cell r="N1090" t="str">
            <v>Button-Size-Medium</v>
          </cell>
        </row>
        <row r="1091">
          <cell r="A1091">
            <v>2100112102</v>
          </cell>
          <cell r="N1091" t="str">
            <v>Button-Size-Medium</v>
          </cell>
        </row>
        <row r="1092">
          <cell r="A1092">
            <v>2100112103</v>
          </cell>
          <cell r="N1092" t="str">
            <v>Button-Size-Medium</v>
          </cell>
        </row>
        <row r="1093">
          <cell r="A1093">
            <v>2100112104</v>
          </cell>
          <cell r="N1093" t="str">
            <v>Button-Size-Medium</v>
          </cell>
        </row>
        <row r="1094">
          <cell r="A1094">
            <v>2100112105</v>
          </cell>
          <cell r="N1094" t="str">
            <v>Button-Size-Medium</v>
          </cell>
        </row>
        <row r="1095">
          <cell r="A1095">
            <v>2100112106</v>
          </cell>
          <cell r="N1095" t="str">
            <v>Button-Size-Medium</v>
          </cell>
        </row>
        <row r="1096">
          <cell r="A1096">
            <v>2100112107</v>
          </cell>
          <cell r="N1096" t="str">
            <v>Button-Size-Medium</v>
          </cell>
        </row>
        <row r="1097">
          <cell r="A1097">
            <v>2100112108</v>
          </cell>
          <cell r="N1097" t="str">
            <v>Button-Size-Medium</v>
          </cell>
        </row>
        <row r="1098">
          <cell r="A1098">
            <v>2100112109</v>
          </cell>
          <cell r="N1098" t="str">
            <v>Button-Size-Medium</v>
          </cell>
        </row>
        <row r="1099">
          <cell r="A1099">
            <v>2100112110</v>
          </cell>
          <cell r="N1099" t="str">
            <v>Button-Size-Medium</v>
          </cell>
        </row>
        <row r="1100">
          <cell r="A1100">
            <v>2100112111</v>
          </cell>
          <cell r="N1100" t="str">
            <v>Button-Size-Medium</v>
          </cell>
        </row>
        <row r="1101">
          <cell r="A1101">
            <v>2100112112</v>
          </cell>
          <cell r="N1101" t="str">
            <v>Button-Size-Medium</v>
          </cell>
        </row>
        <row r="1102">
          <cell r="A1102">
            <v>2100112113</v>
          </cell>
          <cell r="N1102" t="str">
            <v>Button-Size-Medium</v>
          </cell>
        </row>
        <row r="1103">
          <cell r="A1103">
            <v>2100112114</v>
          </cell>
          <cell r="N1103" t="str">
            <v>Button-Size-Medium</v>
          </cell>
        </row>
        <row r="1104">
          <cell r="A1104">
            <v>2100112115</v>
          </cell>
          <cell r="N1104" t="str">
            <v>Button-Size-Medium</v>
          </cell>
        </row>
        <row r="1105">
          <cell r="A1105">
            <v>2100112116</v>
          </cell>
          <cell r="N1105" t="str">
            <v>Button-Size-Medium</v>
          </cell>
        </row>
        <row r="1106">
          <cell r="A1106">
            <v>2100112117</v>
          </cell>
          <cell r="N1106" t="str">
            <v>Button-Size-Medium</v>
          </cell>
        </row>
        <row r="1107">
          <cell r="A1107">
            <v>2100112118</v>
          </cell>
          <cell r="N1107" t="str">
            <v>Button-Size-Medium</v>
          </cell>
        </row>
        <row r="1108">
          <cell r="A1108">
            <v>2100112119</v>
          </cell>
          <cell r="N1108" t="str">
            <v>Button-Size-Medium</v>
          </cell>
        </row>
        <row r="1109">
          <cell r="A1109">
            <v>2100112200</v>
          </cell>
          <cell r="N1109" t="str">
            <v>Button-Size-Large</v>
          </cell>
        </row>
        <row r="1110">
          <cell r="A1110">
            <v>2100112201</v>
          </cell>
          <cell r="N1110" t="str">
            <v>Button-Size-Large</v>
          </cell>
        </row>
        <row r="1111">
          <cell r="A1111">
            <v>2100112202</v>
          </cell>
          <cell r="N1111" t="str">
            <v>Button-Size-Large</v>
          </cell>
        </row>
        <row r="1112">
          <cell r="A1112">
            <v>2100112203</v>
          </cell>
          <cell r="N1112" t="str">
            <v>Button-Size-Large</v>
          </cell>
        </row>
        <row r="1113">
          <cell r="A1113">
            <v>2100112204</v>
          </cell>
          <cell r="N1113" t="str">
            <v>Button-Size-Large</v>
          </cell>
        </row>
        <row r="1114">
          <cell r="A1114">
            <v>2100112205</v>
          </cell>
          <cell r="N1114" t="str">
            <v>Button-Size-Large</v>
          </cell>
        </row>
        <row r="1115">
          <cell r="A1115">
            <v>2100112206</v>
          </cell>
          <cell r="N1115" t="str">
            <v>Button-Size-Large</v>
          </cell>
        </row>
        <row r="1116">
          <cell r="A1116">
            <v>2100112207</v>
          </cell>
          <cell r="N1116" t="str">
            <v>Button-Size-Large</v>
          </cell>
        </row>
        <row r="1117">
          <cell r="A1117">
            <v>2100112208</v>
          </cell>
          <cell r="N1117" t="str">
            <v>Button-Size-Large</v>
          </cell>
        </row>
        <row r="1118">
          <cell r="A1118">
            <v>2100112209</v>
          </cell>
          <cell r="N1118" t="str">
            <v>Button-Size-Large</v>
          </cell>
        </row>
        <row r="1119">
          <cell r="A1119">
            <v>2100112210</v>
          </cell>
          <cell r="N1119" t="str">
            <v>Button-Size-Large</v>
          </cell>
        </row>
        <row r="1120">
          <cell r="A1120">
            <v>2100112211</v>
          </cell>
          <cell r="N1120" t="str">
            <v>Button-Size-Large</v>
          </cell>
        </row>
        <row r="1121">
          <cell r="A1121">
            <v>2100112212</v>
          </cell>
          <cell r="N1121" t="str">
            <v>Button-Size-Large</v>
          </cell>
        </row>
        <row r="1122">
          <cell r="A1122">
            <v>2100112213</v>
          </cell>
          <cell r="N1122" t="str">
            <v>Button-Size-Large</v>
          </cell>
        </row>
        <row r="1123">
          <cell r="A1123">
            <v>2100112214</v>
          </cell>
          <cell r="N1123" t="str">
            <v>Button-Size-Large</v>
          </cell>
        </row>
        <row r="1124">
          <cell r="A1124">
            <v>2100112215</v>
          </cell>
          <cell r="N1124" t="str">
            <v>Button-Size-Large</v>
          </cell>
        </row>
        <row r="1125">
          <cell r="A1125">
            <v>2100112216</v>
          </cell>
          <cell r="N1125" t="str">
            <v>Button-Size-Large</v>
          </cell>
        </row>
        <row r="1126">
          <cell r="A1126">
            <v>2100112217</v>
          </cell>
          <cell r="N1126" t="str">
            <v>Button-Size-Large</v>
          </cell>
        </row>
        <row r="1127">
          <cell r="A1127">
            <v>2100112218</v>
          </cell>
          <cell r="N1127" t="str">
            <v>Button-Size-Large</v>
          </cell>
        </row>
        <row r="1128">
          <cell r="A1128">
            <v>2100112219</v>
          </cell>
          <cell r="N1128" t="str">
            <v>Button-Size-Large</v>
          </cell>
        </row>
        <row r="1129">
          <cell r="A1129">
            <v>2100112300</v>
          </cell>
          <cell r="N1129" t="str">
            <v>Button-Size-Extra-Large</v>
          </cell>
        </row>
        <row r="1130">
          <cell r="A1130">
            <v>2100112301</v>
          </cell>
          <cell r="N1130" t="str">
            <v>Button-Size-Extra-Large</v>
          </cell>
        </row>
        <row r="1131">
          <cell r="A1131">
            <v>2100112302</v>
          </cell>
          <cell r="N1131" t="str">
            <v>Button-Size-Extra-Large</v>
          </cell>
        </row>
        <row r="1132">
          <cell r="A1132">
            <v>2100112303</v>
          </cell>
          <cell r="N1132" t="str">
            <v>Button-Size-Extra-Large</v>
          </cell>
        </row>
        <row r="1133">
          <cell r="A1133">
            <v>2100112304</v>
          </cell>
          <cell r="N1133" t="str">
            <v>Button-Size-Extra-Large</v>
          </cell>
        </row>
        <row r="1134">
          <cell r="A1134">
            <v>2100112305</v>
          </cell>
          <cell r="N1134" t="str">
            <v>Button-Size-Extra-Large</v>
          </cell>
        </row>
        <row r="1135">
          <cell r="A1135">
            <v>2100112306</v>
          </cell>
          <cell r="N1135" t="str">
            <v>Button-Size-Extra-Large</v>
          </cell>
        </row>
        <row r="1136">
          <cell r="A1136">
            <v>2100112307</v>
          </cell>
          <cell r="N1136" t="str">
            <v>Button-Size-Extra-Large</v>
          </cell>
        </row>
        <row r="1137">
          <cell r="A1137">
            <v>2100112308</v>
          </cell>
          <cell r="N1137" t="str">
            <v>Button-Size-Extra-Large</v>
          </cell>
        </row>
        <row r="1138">
          <cell r="A1138">
            <v>2100112309</v>
          </cell>
          <cell r="N1138" t="str">
            <v>Button-Size-Extra-Large</v>
          </cell>
        </row>
        <row r="1139">
          <cell r="A1139">
            <v>2100112310</v>
          </cell>
          <cell r="N1139" t="str">
            <v>Button-Size-Extra-Large</v>
          </cell>
        </row>
        <row r="1140">
          <cell r="A1140">
            <v>2100112311</v>
          </cell>
          <cell r="N1140" t="str">
            <v>Button-Size-Extra-Large</v>
          </cell>
        </row>
        <row r="1141">
          <cell r="A1141">
            <v>2100112312</v>
          </cell>
          <cell r="N1141" t="str">
            <v>Button-Size-Extra-Large</v>
          </cell>
        </row>
        <row r="1142">
          <cell r="A1142">
            <v>2100112313</v>
          </cell>
          <cell r="N1142" t="str">
            <v>Button-Size-Extra-Large</v>
          </cell>
        </row>
        <row r="1143">
          <cell r="A1143">
            <v>2100112314</v>
          </cell>
          <cell r="N1143" t="str">
            <v>Button-Size-Extra-Large</v>
          </cell>
        </row>
        <row r="1144">
          <cell r="A1144">
            <v>2100112315</v>
          </cell>
          <cell r="N1144" t="str">
            <v>Button-Size-Extra-Large</v>
          </cell>
        </row>
        <row r="1145">
          <cell r="A1145">
            <v>2100112316</v>
          </cell>
          <cell r="N1145" t="str">
            <v>Button-Size-Extra-Large</v>
          </cell>
        </row>
        <row r="1146">
          <cell r="A1146">
            <v>2100112317</v>
          </cell>
          <cell r="N1146" t="str">
            <v>Button-Size-Extra-Large</v>
          </cell>
        </row>
        <row r="1147">
          <cell r="A1147">
            <v>2100112318</v>
          </cell>
          <cell r="N1147" t="str">
            <v>Button-Size-Extra-Large</v>
          </cell>
        </row>
        <row r="1148">
          <cell r="A1148">
            <v>2100112319</v>
          </cell>
          <cell r="N1148" t="str">
            <v>Button-Size-Extra-Large</v>
          </cell>
        </row>
        <row r="1149">
          <cell r="A1149">
            <v>3010110000</v>
          </cell>
          <cell r="N1149" t="str">
            <v>Loading-Success-Outline</v>
          </cell>
        </row>
        <row r="1150">
          <cell r="A1150">
            <v>3010110001</v>
          </cell>
          <cell r="N1150" t="str">
            <v>Loading-Success-Outline</v>
          </cell>
        </row>
        <row r="1151">
          <cell r="A1151">
            <v>3010110002</v>
          </cell>
          <cell r="N1151" t="str">
            <v>Loading-Success-Outline</v>
          </cell>
        </row>
        <row r="1152">
          <cell r="A1152">
            <v>3010110003</v>
          </cell>
          <cell r="N1152" t="str">
            <v>Loading-Success-Outline</v>
          </cell>
        </row>
        <row r="1153">
          <cell r="A1153">
            <v>3010110004</v>
          </cell>
          <cell r="N1153" t="str">
            <v>Loading-Success-Outline</v>
          </cell>
        </row>
        <row r="1154">
          <cell r="A1154">
            <v>3010110005</v>
          </cell>
          <cell r="N1154" t="str">
            <v>Loading-Success-Outline</v>
          </cell>
        </row>
        <row r="1155">
          <cell r="A1155">
            <v>3010110006</v>
          </cell>
          <cell r="N1155" t="str">
            <v>Loading-Success-Outline</v>
          </cell>
        </row>
        <row r="1156">
          <cell r="A1156">
            <v>3010110007</v>
          </cell>
          <cell r="N1156" t="str">
            <v>Loading-Success-Outline</v>
          </cell>
        </row>
        <row r="1157">
          <cell r="A1157">
            <v>3010110008</v>
          </cell>
          <cell r="N1157" t="str">
            <v>Loading-Success-Outline</v>
          </cell>
        </row>
        <row r="1158">
          <cell r="A1158">
            <v>3010110009</v>
          </cell>
          <cell r="N1158" t="str">
            <v>Loading-Success-Outline</v>
          </cell>
        </row>
        <row r="1159">
          <cell r="A1159">
            <v>3010110010</v>
          </cell>
          <cell r="N1159" t="str">
            <v>Loading-Success-Outline</v>
          </cell>
        </row>
        <row r="1160">
          <cell r="A1160">
            <v>3010110011</v>
          </cell>
          <cell r="N1160" t="str">
            <v>Loading-Success-Outline</v>
          </cell>
        </row>
        <row r="1161">
          <cell r="A1161">
            <v>3010110012</v>
          </cell>
          <cell r="N1161" t="str">
            <v>Loading-Success-Outline</v>
          </cell>
        </row>
        <row r="1162">
          <cell r="A1162">
            <v>3010110013</v>
          </cell>
          <cell r="N1162" t="str">
            <v>Loading-Success-Outline</v>
          </cell>
        </row>
        <row r="1163">
          <cell r="A1163">
            <v>3010110014</v>
          </cell>
          <cell r="N1163" t="str">
            <v>Loading-Success-Outline</v>
          </cell>
        </row>
        <row r="1164">
          <cell r="A1164">
            <v>3010110015</v>
          </cell>
          <cell r="N1164" t="str">
            <v>Loading-Success-Outline</v>
          </cell>
        </row>
        <row r="1165">
          <cell r="A1165">
            <v>3010110016</v>
          </cell>
          <cell r="N1165" t="str">
            <v>Loading-Success-Outline</v>
          </cell>
        </row>
        <row r="1166">
          <cell r="A1166">
            <v>3010110017</v>
          </cell>
          <cell r="N1166" t="str">
            <v>Loading-Success-Outline</v>
          </cell>
        </row>
        <row r="1167">
          <cell r="A1167">
            <v>3010110018</v>
          </cell>
          <cell r="N1167" t="str">
            <v>Loading-Success-Outline</v>
          </cell>
        </row>
        <row r="1168">
          <cell r="A1168">
            <v>3010110019</v>
          </cell>
          <cell r="N1168" t="str">
            <v>Loading-Success-Outline</v>
          </cell>
        </row>
        <row r="1169">
          <cell r="A1169">
            <v>3010110100</v>
          </cell>
          <cell r="N1169" t="str">
            <v>Loading-Danger-Outline</v>
          </cell>
        </row>
        <row r="1170">
          <cell r="A1170">
            <v>3010110101</v>
          </cell>
          <cell r="N1170" t="str">
            <v>Loading-Danger-Outline</v>
          </cell>
        </row>
        <row r="1171">
          <cell r="A1171">
            <v>3010110102</v>
          </cell>
          <cell r="N1171" t="str">
            <v>Loading-Danger-Outline</v>
          </cell>
        </row>
        <row r="1172">
          <cell r="A1172">
            <v>3010110103</v>
          </cell>
          <cell r="N1172" t="str">
            <v>Loading-Danger-Outline</v>
          </cell>
        </row>
        <row r="1173">
          <cell r="A1173">
            <v>3010110104</v>
          </cell>
          <cell r="N1173" t="str">
            <v>Loading-Danger-Outline</v>
          </cell>
        </row>
        <row r="1174">
          <cell r="A1174">
            <v>3010110105</v>
          </cell>
          <cell r="N1174" t="str">
            <v>Loading-Danger-Outline</v>
          </cell>
        </row>
        <row r="1175">
          <cell r="A1175">
            <v>3010110106</v>
          </cell>
          <cell r="N1175" t="str">
            <v>Loading-Danger-Outline</v>
          </cell>
        </row>
        <row r="1176">
          <cell r="A1176">
            <v>3010110107</v>
          </cell>
          <cell r="N1176" t="str">
            <v>Loading-Danger-Outline</v>
          </cell>
        </row>
        <row r="1177">
          <cell r="A1177">
            <v>3010110108</v>
          </cell>
          <cell r="N1177" t="str">
            <v>Loading-Danger-Outline</v>
          </cell>
        </row>
        <row r="1178">
          <cell r="A1178">
            <v>3010110109</v>
          </cell>
          <cell r="N1178" t="str">
            <v>Loading-Danger-Outline</v>
          </cell>
        </row>
        <row r="1179">
          <cell r="A1179">
            <v>3010110110</v>
          </cell>
          <cell r="N1179" t="str">
            <v>Loading-Danger-Outline</v>
          </cell>
        </row>
        <row r="1180">
          <cell r="A1180">
            <v>3010110111</v>
          </cell>
          <cell r="N1180" t="str">
            <v>Loading-Danger-Outline</v>
          </cell>
        </row>
        <row r="1181">
          <cell r="A1181">
            <v>3010110112</v>
          </cell>
          <cell r="N1181" t="str">
            <v>Loading-Danger-Outline</v>
          </cell>
        </row>
        <row r="1182">
          <cell r="A1182">
            <v>3010110113</v>
          </cell>
          <cell r="N1182" t="str">
            <v>Loading-Danger-Outline</v>
          </cell>
        </row>
        <row r="1183">
          <cell r="A1183">
            <v>3010110114</v>
          </cell>
          <cell r="N1183" t="str">
            <v>Loading-Danger-Outline</v>
          </cell>
        </row>
        <row r="1184">
          <cell r="A1184">
            <v>3010110115</v>
          </cell>
          <cell r="N1184" t="str">
            <v>Loading-Danger-Outline</v>
          </cell>
        </row>
        <row r="1185">
          <cell r="A1185">
            <v>3010110116</v>
          </cell>
          <cell r="N1185" t="str">
            <v>Loading-Danger-Outline</v>
          </cell>
        </row>
        <row r="1186">
          <cell r="A1186">
            <v>3010110117</v>
          </cell>
          <cell r="N1186" t="str">
            <v>Loading-Danger-Outline</v>
          </cell>
        </row>
        <row r="1187">
          <cell r="A1187">
            <v>3010110118</v>
          </cell>
          <cell r="N1187" t="str">
            <v>Loading-Danger-Outline</v>
          </cell>
        </row>
        <row r="1188">
          <cell r="A1188">
            <v>3010110119</v>
          </cell>
          <cell r="N1188" t="str">
            <v>Loading-Danger-Outline</v>
          </cell>
        </row>
        <row r="1189">
          <cell r="A1189">
            <v>3010110200</v>
          </cell>
          <cell r="N1189" t="str">
            <v>Loading-Warning-Outline</v>
          </cell>
        </row>
        <row r="1190">
          <cell r="A1190">
            <v>3010110201</v>
          </cell>
          <cell r="N1190" t="str">
            <v>Loading-Warning-Outline</v>
          </cell>
        </row>
        <row r="1191">
          <cell r="A1191">
            <v>3010110202</v>
          </cell>
          <cell r="N1191" t="str">
            <v>Loading-Warning-Outline</v>
          </cell>
        </row>
        <row r="1192">
          <cell r="A1192">
            <v>3010110203</v>
          </cell>
          <cell r="N1192" t="str">
            <v>Loading-Warning-Outline</v>
          </cell>
        </row>
        <row r="1193">
          <cell r="A1193">
            <v>3010110204</v>
          </cell>
          <cell r="N1193" t="str">
            <v>Loading-Warning-Outline</v>
          </cell>
        </row>
        <row r="1194">
          <cell r="A1194">
            <v>3010110205</v>
          </cell>
          <cell r="N1194" t="str">
            <v>Loading-Warning-Outline</v>
          </cell>
        </row>
        <row r="1195">
          <cell r="A1195">
            <v>3010110206</v>
          </cell>
          <cell r="N1195" t="str">
            <v>Loading-Warning-Outline</v>
          </cell>
        </row>
        <row r="1196">
          <cell r="A1196">
            <v>3010110207</v>
          </cell>
          <cell r="N1196" t="str">
            <v>Loading-Warning-Outline</v>
          </cell>
        </row>
        <row r="1197">
          <cell r="A1197">
            <v>3010110208</v>
          </cell>
          <cell r="N1197" t="str">
            <v>Loading-Warning-Outline</v>
          </cell>
        </row>
        <row r="1198">
          <cell r="A1198">
            <v>3010110209</v>
          </cell>
          <cell r="N1198" t="str">
            <v>Loading-Warning-Outline</v>
          </cell>
        </row>
        <row r="1199">
          <cell r="A1199">
            <v>3010110210</v>
          </cell>
          <cell r="N1199" t="str">
            <v>Loading-Warning-Outline</v>
          </cell>
        </row>
        <row r="1200">
          <cell r="A1200">
            <v>3010110211</v>
          </cell>
          <cell r="N1200" t="str">
            <v>Loading-Warning-Outline</v>
          </cell>
        </row>
        <row r="1201">
          <cell r="A1201">
            <v>3010110212</v>
          </cell>
          <cell r="N1201" t="str">
            <v>Loading-Warning-Outline</v>
          </cell>
        </row>
        <row r="1202">
          <cell r="A1202">
            <v>3010110213</v>
          </cell>
          <cell r="N1202" t="str">
            <v>Loading-Warning-Outline</v>
          </cell>
        </row>
        <row r="1203">
          <cell r="A1203">
            <v>3010110214</v>
          </cell>
          <cell r="N1203" t="str">
            <v>Loading-Warning-Outline</v>
          </cell>
        </row>
        <row r="1204">
          <cell r="A1204">
            <v>3010110215</v>
          </cell>
          <cell r="N1204" t="str">
            <v>Loading-Warning-Outline</v>
          </cell>
        </row>
        <row r="1205">
          <cell r="A1205">
            <v>3010110216</v>
          </cell>
          <cell r="N1205" t="str">
            <v>Loading-Warning-Outline</v>
          </cell>
        </row>
        <row r="1206">
          <cell r="A1206">
            <v>3010110217</v>
          </cell>
          <cell r="N1206" t="str">
            <v>Loading-Warning-Outline</v>
          </cell>
        </row>
        <row r="1207">
          <cell r="A1207">
            <v>3010110218</v>
          </cell>
          <cell r="N1207" t="str">
            <v>Loading-Warning-Outline</v>
          </cell>
        </row>
        <row r="1208">
          <cell r="A1208">
            <v>3010110219</v>
          </cell>
          <cell r="N1208" t="str">
            <v>Loading-Warning-Outline</v>
          </cell>
        </row>
        <row r="1209">
          <cell r="A1209">
            <v>3010110300</v>
          </cell>
          <cell r="N1209" t="str">
            <v>Loading-Info-Outline</v>
          </cell>
        </row>
        <row r="1210">
          <cell r="A1210">
            <v>3010110301</v>
          </cell>
          <cell r="N1210" t="str">
            <v>Loading-Info-Outline</v>
          </cell>
        </row>
        <row r="1211">
          <cell r="A1211">
            <v>3010110302</v>
          </cell>
          <cell r="N1211" t="str">
            <v>Loading-Info-Outline</v>
          </cell>
        </row>
        <row r="1212">
          <cell r="A1212">
            <v>3010110303</v>
          </cell>
          <cell r="N1212" t="str">
            <v>Loading-Info-Outline</v>
          </cell>
        </row>
        <row r="1213">
          <cell r="A1213">
            <v>3010110304</v>
          </cell>
          <cell r="N1213" t="str">
            <v>Loading-Info-Outline</v>
          </cell>
        </row>
        <row r="1214">
          <cell r="A1214">
            <v>3010110305</v>
          </cell>
          <cell r="N1214" t="str">
            <v>Loading-Info-Outline</v>
          </cell>
        </row>
        <row r="1215">
          <cell r="A1215">
            <v>3010110306</v>
          </cell>
          <cell r="N1215" t="str">
            <v>Loading-Info-Outline</v>
          </cell>
        </row>
        <row r="1216">
          <cell r="A1216">
            <v>3010110307</v>
          </cell>
          <cell r="N1216" t="str">
            <v>Loading-Info-Outline</v>
          </cell>
        </row>
        <row r="1217">
          <cell r="A1217">
            <v>3010110308</v>
          </cell>
          <cell r="N1217" t="str">
            <v>Loading-Info-Outline</v>
          </cell>
        </row>
        <row r="1218">
          <cell r="A1218">
            <v>3010110309</v>
          </cell>
          <cell r="N1218" t="str">
            <v>Loading-Info-Outline</v>
          </cell>
        </row>
        <row r="1219">
          <cell r="A1219">
            <v>3010110310</v>
          </cell>
          <cell r="N1219" t="str">
            <v>Loading-Info-Outline</v>
          </cell>
        </row>
        <row r="1220">
          <cell r="A1220">
            <v>3010110311</v>
          </cell>
          <cell r="N1220" t="str">
            <v>Loading-Info-Outline</v>
          </cell>
        </row>
        <row r="1221">
          <cell r="A1221">
            <v>3010110312</v>
          </cell>
          <cell r="N1221" t="str">
            <v>Loading-Info-Outline</v>
          </cell>
        </row>
        <row r="1222">
          <cell r="A1222">
            <v>3010110313</v>
          </cell>
          <cell r="N1222" t="str">
            <v>Loading-Info-Outline</v>
          </cell>
        </row>
        <row r="1223">
          <cell r="A1223">
            <v>3010110314</v>
          </cell>
          <cell r="N1223" t="str">
            <v>Loading-Info-Outline</v>
          </cell>
        </row>
        <row r="1224">
          <cell r="A1224">
            <v>3010110315</v>
          </cell>
          <cell r="N1224" t="str">
            <v>Loading-Info-Outline</v>
          </cell>
        </row>
        <row r="1225">
          <cell r="A1225">
            <v>3010110316</v>
          </cell>
          <cell r="N1225" t="str">
            <v>Loading-Info-Outline</v>
          </cell>
        </row>
        <row r="1226">
          <cell r="A1226">
            <v>3010110317</v>
          </cell>
          <cell r="N1226" t="str">
            <v>Loading-Info-Outline</v>
          </cell>
        </row>
        <row r="1227">
          <cell r="A1227">
            <v>3010110318</v>
          </cell>
          <cell r="N1227" t="str">
            <v>Loading-Info-Outline</v>
          </cell>
        </row>
        <row r="1228">
          <cell r="A1228">
            <v>3010110319</v>
          </cell>
          <cell r="N1228" t="str">
            <v>Loading-Info-Outline</v>
          </cell>
        </row>
        <row r="1229">
          <cell r="A1229">
            <v>3010110400</v>
          </cell>
          <cell r="N1229" t="str">
            <v>Loading-Light-Outline</v>
          </cell>
        </row>
        <row r="1230">
          <cell r="A1230">
            <v>3010110401</v>
          </cell>
          <cell r="N1230" t="str">
            <v>Loading-Light-Outline</v>
          </cell>
        </row>
        <row r="1231">
          <cell r="A1231">
            <v>3010110402</v>
          </cell>
          <cell r="N1231" t="str">
            <v>Loading-Light-Outline</v>
          </cell>
        </row>
        <row r="1232">
          <cell r="A1232">
            <v>3010110403</v>
          </cell>
          <cell r="N1232" t="str">
            <v>Loading-Light-Outline</v>
          </cell>
        </row>
        <row r="1233">
          <cell r="A1233">
            <v>3010110404</v>
          </cell>
          <cell r="N1233" t="str">
            <v>Loading-Light-Outline</v>
          </cell>
        </row>
        <row r="1234">
          <cell r="A1234">
            <v>3010110405</v>
          </cell>
          <cell r="N1234" t="str">
            <v>Loading-Light-Outline</v>
          </cell>
        </row>
        <row r="1235">
          <cell r="A1235">
            <v>3010110406</v>
          </cell>
          <cell r="N1235" t="str">
            <v>Loading-Light-Outline</v>
          </cell>
        </row>
        <row r="1236">
          <cell r="A1236">
            <v>3010110407</v>
          </cell>
          <cell r="N1236" t="str">
            <v>Loading-Light-Outline</v>
          </cell>
        </row>
        <row r="1237">
          <cell r="A1237">
            <v>3010110408</v>
          </cell>
          <cell r="N1237" t="str">
            <v>Loading-Light-Outline</v>
          </cell>
        </row>
        <row r="1238">
          <cell r="A1238">
            <v>3010110409</v>
          </cell>
          <cell r="N1238" t="str">
            <v>Loading-Light-Outline</v>
          </cell>
        </row>
        <row r="1239">
          <cell r="A1239">
            <v>3010110410</v>
          </cell>
          <cell r="N1239" t="str">
            <v>Loading-Light-Outline</v>
          </cell>
        </row>
        <row r="1240">
          <cell r="A1240">
            <v>3010110411</v>
          </cell>
          <cell r="N1240" t="str">
            <v>Loading-Light-Outline</v>
          </cell>
        </row>
        <row r="1241">
          <cell r="A1241">
            <v>3010110412</v>
          </cell>
          <cell r="N1241" t="str">
            <v>Loading-Light-Outline</v>
          </cell>
        </row>
        <row r="1242">
          <cell r="A1242">
            <v>3010110413</v>
          </cell>
          <cell r="N1242" t="str">
            <v>Loading-Light-Outline</v>
          </cell>
        </row>
        <row r="1243">
          <cell r="A1243">
            <v>3010110414</v>
          </cell>
          <cell r="N1243" t="str">
            <v>Loading-Light-Outline</v>
          </cell>
        </row>
        <row r="1244">
          <cell r="A1244">
            <v>3010110415</v>
          </cell>
          <cell r="N1244" t="str">
            <v>Loading-Light-Outline</v>
          </cell>
        </row>
        <row r="1245">
          <cell r="A1245">
            <v>3010110416</v>
          </cell>
          <cell r="N1245" t="str">
            <v>Loading-Light-Outline</v>
          </cell>
        </row>
        <row r="1246">
          <cell r="A1246">
            <v>3010110417</v>
          </cell>
          <cell r="N1246" t="str">
            <v>Loading-Light-Outline</v>
          </cell>
        </row>
        <row r="1247">
          <cell r="A1247">
            <v>3010110418</v>
          </cell>
          <cell r="N1247" t="str">
            <v>Loading-Light-Outline</v>
          </cell>
        </row>
        <row r="1248">
          <cell r="A1248">
            <v>3010110419</v>
          </cell>
          <cell r="N1248" t="str">
            <v>Loading-Light-Outline</v>
          </cell>
        </row>
        <row r="1249">
          <cell r="A1249">
            <v>3010110500</v>
          </cell>
          <cell r="N1249" t="str">
            <v>Loading-Dark-Outline</v>
          </cell>
        </row>
        <row r="1250">
          <cell r="A1250">
            <v>3010110501</v>
          </cell>
          <cell r="N1250" t="str">
            <v>Loading-Dark-Outline</v>
          </cell>
        </row>
        <row r="1251">
          <cell r="A1251">
            <v>3010110502</v>
          </cell>
          <cell r="N1251" t="str">
            <v>Loading-Dark-Outline</v>
          </cell>
        </row>
        <row r="1252">
          <cell r="A1252">
            <v>3010110503</v>
          </cell>
          <cell r="N1252" t="str">
            <v>Loading-Dark-Outline</v>
          </cell>
        </row>
        <row r="1253">
          <cell r="A1253">
            <v>3010110504</v>
          </cell>
          <cell r="N1253" t="str">
            <v>Loading-Dark-Outline</v>
          </cell>
        </row>
        <row r="1254">
          <cell r="A1254">
            <v>3010110505</v>
          </cell>
          <cell r="N1254" t="str">
            <v>Loading-Dark-Outline</v>
          </cell>
        </row>
        <row r="1255">
          <cell r="A1255">
            <v>3010110506</v>
          </cell>
          <cell r="N1255" t="str">
            <v>Loading-Dark-Outline</v>
          </cell>
        </row>
        <row r="1256">
          <cell r="A1256">
            <v>3010110507</v>
          </cell>
          <cell r="N1256" t="str">
            <v>Loading-Dark-Outline</v>
          </cell>
        </row>
        <row r="1257">
          <cell r="A1257">
            <v>3010110508</v>
          </cell>
          <cell r="N1257" t="str">
            <v>Loading-Dark-Outline</v>
          </cell>
        </row>
        <row r="1258">
          <cell r="A1258">
            <v>3010110509</v>
          </cell>
          <cell r="N1258" t="str">
            <v>Loading-Dark-Outline</v>
          </cell>
        </row>
        <row r="1259">
          <cell r="A1259">
            <v>3010110510</v>
          </cell>
          <cell r="N1259" t="str">
            <v>Loading-Dark-Outline</v>
          </cell>
        </row>
        <row r="1260">
          <cell r="A1260">
            <v>3010110511</v>
          </cell>
          <cell r="N1260" t="str">
            <v>Loading-Dark-Outline</v>
          </cell>
        </row>
        <row r="1261">
          <cell r="A1261">
            <v>3010110512</v>
          </cell>
          <cell r="N1261" t="str">
            <v>Loading-Dark-Outline</v>
          </cell>
        </row>
        <row r="1262">
          <cell r="A1262">
            <v>3010110513</v>
          </cell>
          <cell r="N1262" t="str">
            <v>Loading-Dark-Outline</v>
          </cell>
        </row>
        <row r="1263">
          <cell r="A1263">
            <v>3010110514</v>
          </cell>
          <cell r="N1263" t="str">
            <v>Loading-Dark-Outline</v>
          </cell>
        </row>
        <row r="1264">
          <cell r="A1264">
            <v>3010110515</v>
          </cell>
          <cell r="N1264" t="str">
            <v>Loading-Dark-Outline</v>
          </cell>
        </row>
        <row r="1265">
          <cell r="A1265">
            <v>3010110516</v>
          </cell>
          <cell r="N1265" t="str">
            <v>Loading-Dark-Outline</v>
          </cell>
        </row>
        <row r="1266">
          <cell r="A1266">
            <v>3010110517</v>
          </cell>
          <cell r="N1266" t="str">
            <v>Loading-Dark-Outline</v>
          </cell>
        </row>
        <row r="1267">
          <cell r="A1267">
            <v>3010110518</v>
          </cell>
          <cell r="N1267" t="str">
            <v>Loading-Dark-Outline</v>
          </cell>
        </row>
        <row r="1268">
          <cell r="A1268">
            <v>3010110519</v>
          </cell>
          <cell r="N1268" t="str">
            <v>Loading-Dark-Outline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4B7B-81CE-473F-A024-D974E7C4836B}">
  <dimension ref="A1:S1427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1000000000</v>
      </c>
      <c r="B2" t="s">
        <v>19</v>
      </c>
      <c r="C2" t="s">
        <v>20</v>
      </c>
      <c r="D2" t="s">
        <v>21</v>
      </c>
      <c r="E2" t="s">
        <v>22</v>
      </c>
      <c r="F2" t="e">
        <f>--ds-color-primary</f>
        <v>#NAME?</v>
      </c>
      <c r="G2" t="s">
        <v>23</v>
      </c>
      <c r="H2" t="s">
        <v>23</v>
      </c>
      <c r="I2" t="s">
        <v>19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>
        <v>1</v>
      </c>
      <c r="P2">
        <v>1</v>
      </c>
      <c r="Q2">
        <v>1</v>
      </c>
      <c r="R2" s="1">
        <v>46177.736354166664</v>
      </c>
      <c r="S2" s="1">
        <v>46205.611666666664</v>
      </c>
    </row>
    <row r="3" spans="1:19" x14ac:dyDescent="0.25">
      <c r="A3">
        <v>2010101000</v>
      </c>
      <c r="B3" t="s">
        <v>28</v>
      </c>
      <c r="C3" t="s">
        <v>29</v>
      </c>
      <c r="D3" t="s">
        <v>30</v>
      </c>
      <c r="E3" t="s">
        <v>31</v>
      </c>
      <c r="F3" t="e">
        <f>--ds-btn-basic-primary-bg</f>
        <v>#NAME?</v>
      </c>
      <c r="G3" t="s">
        <v>23</v>
      </c>
      <c r="H3" t="s">
        <v>23</v>
      </c>
      <c r="I3" t="s">
        <v>32</v>
      </c>
      <c r="J3" t="s">
        <v>24</v>
      </c>
      <c r="K3" t="s">
        <v>33</v>
      </c>
      <c r="L3" t="s">
        <v>25</v>
      </c>
      <c r="M3" t="s">
        <v>26</v>
      </c>
      <c r="N3" t="s">
        <v>34</v>
      </c>
      <c r="O3">
        <v>1</v>
      </c>
      <c r="P3">
        <v>1</v>
      </c>
      <c r="Q3">
        <v>0</v>
      </c>
      <c r="R3" s="1">
        <v>46177.690462962964</v>
      </c>
      <c r="S3" s="1">
        <v>46205.611666666664</v>
      </c>
    </row>
    <row r="4" spans="1:19" x14ac:dyDescent="0.25">
      <c r="A4">
        <v>2010101001</v>
      </c>
      <c r="B4" t="s">
        <v>28</v>
      </c>
      <c r="C4" t="s">
        <v>29</v>
      </c>
      <c r="D4" t="s">
        <v>35</v>
      </c>
      <c r="E4" t="s">
        <v>36</v>
      </c>
      <c r="F4" t="e">
        <f>--ds-btn-basic-primary-text</f>
        <v>#NAME?</v>
      </c>
      <c r="G4" t="s">
        <v>37</v>
      </c>
      <c r="H4" t="s">
        <v>37</v>
      </c>
      <c r="I4" t="s">
        <v>32</v>
      </c>
      <c r="J4" t="s">
        <v>24</v>
      </c>
      <c r="K4" t="s">
        <v>33</v>
      </c>
      <c r="L4" t="s">
        <v>25</v>
      </c>
      <c r="M4" t="s">
        <v>38</v>
      </c>
      <c r="N4" t="s">
        <v>34</v>
      </c>
      <c r="O4">
        <v>1</v>
      </c>
      <c r="P4">
        <v>1</v>
      </c>
      <c r="Q4">
        <v>0</v>
      </c>
      <c r="R4" s="1">
        <v>46177.690462962964</v>
      </c>
      <c r="S4" s="1">
        <v>46205.611666666664</v>
      </c>
    </row>
    <row r="5" spans="1:19" x14ac:dyDescent="0.25">
      <c r="A5">
        <v>2010101002</v>
      </c>
      <c r="B5" t="s">
        <v>28</v>
      </c>
      <c r="C5" t="s">
        <v>29</v>
      </c>
      <c r="D5" t="s">
        <v>39</v>
      </c>
      <c r="E5" t="s">
        <v>40</v>
      </c>
      <c r="F5" t="e">
        <f>--ds-btn-basic-primary-border</f>
        <v>#NAME?</v>
      </c>
      <c r="G5" t="s">
        <v>41</v>
      </c>
      <c r="H5" t="s">
        <v>41</v>
      </c>
      <c r="I5" t="s">
        <v>32</v>
      </c>
      <c r="J5" t="s">
        <v>24</v>
      </c>
      <c r="K5" t="s">
        <v>33</v>
      </c>
      <c r="L5" t="s">
        <v>25</v>
      </c>
      <c r="M5" t="s">
        <v>42</v>
      </c>
      <c r="N5" t="s">
        <v>34</v>
      </c>
      <c r="O5">
        <v>1</v>
      </c>
      <c r="P5">
        <v>1</v>
      </c>
      <c r="Q5">
        <v>0</v>
      </c>
      <c r="R5" s="1">
        <v>46177.690462962964</v>
      </c>
      <c r="S5" s="1">
        <v>46205.611666666664</v>
      </c>
    </row>
    <row r="6" spans="1:19" x14ac:dyDescent="0.25">
      <c r="A6">
        <v>2010101003</v>
      </c>
      <c r="B6" t="s">
        <v>28</v>
      </c>
      <c r="C6" t="s">
        <v>29</v>
      </c>
      <c r="D6" t="s">
        <v>43</v>
      </c>
      <c r="E6" t="s">
        <v>44</v>
      </c>
      <c r="F6" t="e">
        <f>--ds-btn-basic-primary-hover-bg</f>
        <v>#NAME?</v>
      </c>
      <c r="G6" t="s">
        <v>45</v>
      </c>
      <c r="H6" t="s">
        <v>45</v>
      </c>
      <c r="I6" t="s">
        <v>32</v>
      </c>
      <c r="J6" t="s">
        <v>24</v>
      </c>
      <c r="K6" t="s">
        <v>33</v>
      </c>
      <c r="L6" t="s">
        <v>25</v>
      </c>
      <c r="M6" t="s">
        <v>46</v>
      </c>
      <c r="N6" t="s">
        <v>34</v>
      </c>
      <c r="O6">
        <v>1</v>
      </c>
      <c r="P6">
        <v>1</v>
      </c>
      <c r="Q6">
        <v>0</v>
      </c>
      <c r="R6" s="1">
        <v>46177.690462962964</v>
      </c>
      <c r="S6" s="1">
        <v>46205.611666666664</v>
      </c>
    </row>
    <row r="7" spans="1:19" x14ac:dyDescent="0.25">
      <c r="A7">
        <v>2010101004</v>
      </c>
      <c r="B7" t="s">
        <v>28</v>
      </c>
      <c r="C7" t="s">
        <v>29</v>
      </c>
      <c r="D7" t="s">
        <v>47</v>
      </c>
      <c r="E7" t="s">
        <v>48</v>
      </c>
      <c r="F7" t="e">
        <f>--ds-btn-basic-primary-hover-text</f>
        <v>#NAME?</v>
      </c>
      <c r="G7" t="s">
        <v>37</v>
      </c>
      <c r="H7" t="s">
        <v>37</v>
      </c>
      <c r="I7" t="s">
        <v>32</v>
      </c>
      <c r="J7" t="s">
        <v>24</v>
      </c>
      <c r="K7" t="s">
        <v>33</v>
      </c>
      <c r="L7" t="s">
        <v>25</v>
      </c>
      <c r="M7" t="s">
        <v>49</v>
      </c>
      <c r="N7" t="s">
        <v>34</v>
      </c>
      <c r="O7">
        <v>1</v>
      </c>
      <c r="P7">
        <v>1</v>
      </c>
      <c r="Q7">
        <v>0</v>
      </c>
      <c r="R7" s="1">
        <v>46177.690462962964</v>
      </c>
      <c r="S7" s="1">
        <v>46205.611666666664</v>
      </c>
    </row>
    <row r="8" spans="1:19" x14ac:dyDescent="0.25">
      <c r="A8">
        <v>2010101005</v>
      </c>
      <c r="B8" t="s">
        <v>28</v>
      </c>
      <c r="C8" t="s">
        <v>29</v>
      </c>
      <c r="D8" t="s">
        <v>50</v>
      </c>
      <c r="E8" t="s">
        <v>51</v>
      </c>
      <c r="F8" t="e">
        <f>--ds-btn-basic-primary-hover-border</f>
        <v>#NAME?</v>
      </c>
      <c r="G8" t="s">
        <v>52</v>
      </c>
      <c r="H8" t="s">
        <v>52</v>
      </c>
      <c r="I8" t="s">
        <v>32</v>
      </c>
      <c r="J8" t="s">
        <v>24</v>
      </c>
      <c r="K8" t="s">
        <v>33</v>
      </c>
      <c r="L8" t="s">
        <v>25</v>
      </c>
      <c r="M8" t="s">
        <v>53</v>
      </c>
      <c r="N8" t="s">
        <v>34</v>
      </c>
      <c r="O8">
        <v>1</v>
      </c>
      <c r="P8">
        <v>1</v>
      </c>
      <c r="Q8">
        <v>0</v>
      </c>
      <c r="R8" s="1">
        <v>46177.690462962964</v>
      </c>
      <c r="S8" s="1">
        <v>46205.611666666664</v>
      </c>
    </row>
    <row r="9" spans="1:19" x14ac:dyDescent="0.25">
      <c r="A9">
        <v>2010101006</v>
      </c>
      <c r="B9" t="s">
        <v>28</v>
      </c>
      <c r="C9" t="s">
        <v>29</v>
      </c>
      <c r="D9" t="s">
        <v>54</v>
      </c>
      <c r="E9" t="s">
        <v>55</v>
      </c>
      <c r="F9" t="e">
        <f>--ds-btn-basic-primary-disabled-bg</f>
        <v>#NAME?</v>
      </c>
      <c r="G9" t="s">
        <v>56</v>
      </c>
      <c r="H9" t="s">
        <v>56</v>
      </c>
      <c r="I9" t="s">
        <v>32</v>
      </c>
      <c r="J9" t="s">
        <v>24</v>
      </c>
      <c r="K9" t="s">
        <v>33</v>
      </c>
      <c r="L9" t="s">
        <v>25</v>
      </c>
      <c r="M9" t="s">
        <v>57</v>
      </c>
      <c r="N9" t="s">
        <v>34</v>
      </c>
      <c r="O9">
        <v>1</v>
      </c>
      <c r="P9">
        <v>1</v>
      </c>
      <c r="Q9">
        <v>0</v>
      </c>
      <c r="R9" s="1">
        <v>46177.690462962964</v>
      </c>
      <c r="S9" s="1">
        <v>46205.611666666664</v>
      </c>
    </row>
    <row r="10" spans="1:19" x14ac:dyDescent="0.25">
      <c r="A10">
        <v>2010101007</v>
      </c>
      <c r="B10" t="s">
        <v>28</v>
      </c>
      <c r="C10" t="s">
        <v>29</v>
      </c>
      <c r="D10" t="s">
        <v>58</v>
      </c>
      <c r="E10" t="s">
        <v>59</v>
      </c>
      <c r="F10" t="e">
        <f>--ds-btn-basic-primary-disabled-text</f>
        <v>#NAME?</v>
      </c>
      <c r="G10" t="s">
        <v>60</v>
      </c>
      <c r="H10" t="s">
        <v>60</v>
      </c>
      <c r="I10" t="s">
        <v>32</v>
      </c>
      <c r="J10" t="s">
        <v>24</v>
      </c>
      <c r="K10" t="s">
        <v>33</v>
      </c>
      <c r="L10" t="s">
        <v>25</v>
      </c>
      <c r="M10" t="s">
        <v>61</v>
      </c>
      <c r="N10" t="s">
        <v>34</v>
      </c>
      <c r="O10">
        <v>1</v>
      </c>
      <c r="P10">
        <v>1</v>
      </c>
      <c r="Q10">
        <v>0</v>
      </c>
      <c r="R10" s="1">
        <v>46177.690462962964</v>
      </c>
      <c r="S10" s="1">
        <v>46205.611666666664</v>
      </c>
    </row>
    <row r="11" spans="1:19" x14ac:dyDescent="0.25">
      <c r="A11">
        <v>2010101008</v>
      </c>
      <c r="B11" t="s">
        <v>28</v>
      </c>
      <c r="C11" t="s">
        <v>29</v>
      </c>
      <c r="D11" t="s">
        <v>62</v>
      </c>
      <c r="E11" t="s">
        <v>63</v>
      </c>
      <c r="F11" t="e">
        <f>--ds-btn-basic-primary-disabled-border</f>
        <v>#NAME?</v>
      </c>
      <c r="G11" t="s">
        <v>64</v>
      </c>
      <c r="H11" t="s">
        <v>64</v>
      </c>
      <c r="I11" t="s">
        <v>32</v>
      </c>
      <c r="J11" t="s">
        <v>24</v>
      </c>
      <c r="K11" t="s">
        <v>33</v>
      </c>
      <c r="L11" t="s">
        <v>25</v>
      </c>
      <c r="M11" t="s">
        <v>65</v>
      </c>
      <c r="N11" t="s">
        <v>34</v>
      </c>
      <c r="O11">
        <v>1</v>
      </c>
      <c r="P11">
        <v>1</v>
      </c>
      <c r="Q11">
        <v>0</v>
      </c>
      <c r="R11" s="1">
        <v>46177.690462962964</v>
      </c>
      <c r="S11" s="1">
        <v>46205.611666666664</v>
      </c>
    </row>
    <row r="12" spans="1:19" x14ac:dyDescent="0.25">
      <c r="A12">
        <v>2010101009</v>
      </c>
      <c r="B12" t="s">
        <v>28</v>
      </c>
      <c r="C12" t="s">
        <v>29</v>
      </c>
      <c r="D12" t="s">
        <v>66</v>
      </c>
      <c r="E12" t="s">
        <v>67</v>
      </c>
      <c r="F12" t="e">
        <f>--ds-btn-basic-primary-shadow</f>
        <v>#NAME?</v>
      </c>
      <c r="G12" t="s">
        <v>68</v>
      </c>
      <c r="H12" t="s">
        <v>68</v>
      </c>
      <c r="I12" t="s">
        <v>32</v>
      </c>
      <c r="J12" t="s">
        <v>69</v>
      </c>
      <c r="K12" t="s">
        <v>33</v>
      </c>
      <c r="L12" t="s">
        <v>25</v>
      </c>
      <c r="M12" t="s">
        <v>70</v>
      </c>
      <c r="N12" t="s">
        <v>34</v>
      </c>
      <c r="O12">
        <v>1</v>
      </c>
      <c r="P12">
        <v>0</v>
      </c>
      <c r="Q12">
        <v>0</v>
      </c>
      <c r="R12" s="1">
        <v>46177.690462962964</v>
      </c>
      <c r="S12" s="1">
        <v>46205.611666666664</v>
      </c>
    </row>
    <row r="13" spans="1:19" x14ac:dyDescent="0.25">
      <c r="A13">
        <v>2010101010</v>
      </c>
      <c r="B13" t="s">
        <v>28</v>
      </c>
      <c r="C13" t="s">
        <v>29</v>
      </c>
      <c r="D13" t="s">
        <v>71</v>
      </c>
      <c r="E13" t="s">
        <v>72</v>
      </c>
      <c r="F13" t="e">
        <f>--ds-btn-basic-primary-radius</f>
        <v>#NAME?</v>
      </c>
      <c r="G13" t="s">
        <v>73</v>
      </c>
      <c r="H13" t="s">
        <v>73</v>
      </c>
      <c r="I13" t="s">
        <v>32</v>
      </c>
      <c r="J13" t="s">
        <v>69</v>
      </c>
      <c r="K13" t="s">
        <v>33</v>
      </c>
      <c r="L13" t="s">
        <v>25</v>
      </c>
      <c r="M13" t="s">
        <v>74</v>
      </c>
      <c r="N13" t="s">
        <v>34</v>
      </c>
      <c r="O13">
        <v>1</v>
      </c>
      <c r="P13">
        <v>0</v>
      </c>
      <c r="Q13">
        <v>0</v>
      </c>
      <c r="R13" s="1">
        <v>46177.690462962964</v>
      </c>
      <c r="S13" s="1">
        <v>46205.611666666664</v>
      </c>
    </row>
    <row r="14" spans="1:19" x14ac:dyDescent="0.25">
      <c r="A14">
        <v>2010101011</v>
      </c>
      <c r="B14" t="s">
        <v>28</v>
      </c>
      <c r="C14" t="s">
        <v>29</v>
      </c>
      <c r="D14" t="s">
        <v>75</v>
      </c>
      <c r="E14" t="s">
        <v>76</v>
      </c>
      <c r="F14" t="e">
        <f>--ds-btn-basic-primary-padding-x</f>
        <v>#NAME?</v>
      </c>
      <c r="G14" t="s">
        <v>77</v>
      </c>
      <c r="H14" t="s">
        <v>77</v>
      </c>
      <c r="I14" t="s">
        <v>32</v>
      </c>
      <c r="J14" t="s">
        <v>78</v>
      </c>
      <c r="K14" t="s">
        <v>33</v>
      </c>
      <c r="L14" t="s">
        <v>25</v>
      </c>
      <c r="M14" t="s">
        <v>79</v>
      </c>
      <c r="N14" t="s">
        <v>34</v>
      </c>
      <c r="O14">
        <v>1</v>
      </c>
      <c r="P14">
        <v>0</v>
      </c>
      <c r="Q14">
        <v>0</v>
      </c>
      <c r="R14" s="1">
        <v>46177.690462962964</v>
      </c>
      <c r="S14" s="1">
        <v>46205.611666666664</v>
      </c>
    </row>
    <row r="15" spans="1:19" x14ac:dyDescent="0.25">
      <c r="A15">
        <v>2010101012</v>
      </c>
      <c r="B15" t="s">
        <v>28</v>
      </c>
      <c r="C15" t="s">
        <v>29</v>
      </c>
      <c r="D15" t="s">
        <v>80</v>
      </c>
      <c r="E15" t="s">
        <v>81</v>
      </c>
      <c r="F15" t="e">
        <f>--ds-btn-basic-primary-padding-y</f>
        <v>#NAME?</v>
      </c>
      <c r="G15" t="s">
        <v>82</v>
      </c>
      <c r="H15" t="s">
        <v>82</v>
      </c>
      <c r="I15" t="s">
        <v>32</v>
      </c>
      <c r="J15" t="s">
        <v>78</v>
      </c>
      <c r="K15" t="s">
        <v>33</v>
      </c>
      <c r="L15" t="s">
        <v>25</v>
      </c>
      <c r="M15" t="s">
        <v>83</v>
      </c>
      <c r="N15" t="s">
        <v>34</v>
      </c>
      <c r="O15">
        <v>1</v>
      </c>
      <c r="P15">
        <v>0</v>
      </c>
      <c r="Q15">
        <v>0</v>
      </c>
      <c r="R15" s="1">
        <v>46177.690462962964</v>
      </c>
      <c r="S15" s="1">
        <v>46205.611666666664</v>
      </c>
    </row>
    <row r="16" spans="1:19" x14ac:dyDescent="0.25">
      <c r="A16">
        <v>2010101013</v>
      </c>
      <c r="B16" t="s">
        <v>28</v>
      </c>
      <c r="C16" t="s">
        <v>29</v>
      </c>
      <c r="D16" t="s">
        <v>84</v>
      </c>
      <c r="E16" t="s">
        <v>85</v>
      </c>
      <c r="F16" t="e">
        <f>--ds-btn-basic-primary-gap</f>
        <v>#NAME?</v>
      </c>
      <c r="G16" t="s">
        <v>86</v>
      </c>
      <c r="H16" t="s">
        <v>86</v>
      </c>
      <c r="I16" t="s">
        <v>32</v>
      </c>
      <c r="J16" t="s">
        <v>78</v>
      </c>
      <c r="K16" t="s">
        <v>33</v>
      </c>
      <c r="L16" t="s">
        <v>25</v>
      </c>
      <c r="M16" t="s">
        <v>87</v>
      </c>
      <c r="N16" t="s">
        <v>34</v>
      </c>
      <c r="O16">
        <v>1</v>
      </c>
      <c r="P16">
        <v>0</v>
      </c>
      <c r="Q16">
        <v>0</v>
      </c>
      <c r="R16" s="1">
        <v>46177.690462962964</v>
      </c>
      <c r="S16" s="1">
        <v>46205.611666666664</v>
      </c>
    </row>
    <row r="17" spans="1:19" x14ac:dyDescent="0.25">
      <c r="A17">
        <v>2010101014</v>
      </c>
      <c r="B17" t="s">
        <v>28</v>
      </c>
      <c r="C17" t="s">
        <v>29</v>
      </c>
      <c r="D17" t="s">
        <v>88</v>
      </c>
      <c r="E17" t="s">
        <v>89</v>
      </c>
      <c r="F17" t="e">
        <f>--ds-btn-basic-primary-focus-ring</f>
        <v>#NAME?</v>
      </c>
      <c r="G17" t="s">
        <v>90</v>
      </c>
      <c r="H17" t="s">
        <v>90</v>
      </c>
      <c r="I17" t="s">
        <v>32</v>
      </c>
      <c r="J17" t="s">
        <v>69</v>
      </c>
      <c r="K17" t="s">
        <v>33</v>
      </c>
      <c r="L17" t="s">
        <v>25</v>
      </c>
      <c r="M17" t="s">
        <v>91</v>
      </c>
      <c r="N17" t="s">
        <v>34</v>
      </c>
      <c r="O17">
        <v>1</v>
      </c>
      <c r="P17">
        <v>0</v>
      </c>
      <c r="Q17">
        <v>0</v>
      </c>
      <c r="R17" s="1">
        <v>46177.690462962964</v>
      </c>
      <c r="S17" s="1">
        <v>46205.611666666664</v>
      </c>
    </row>
    <row r="18" spans="1:19" x14ac:dyDescent="0.25">
      <c r="A18">
        <v>2010101015</v>
      </c>
      <c r="B18" t="s">
        <v>28</v>
      </c>
      <c r="C18" t="s">
        <v>29</v>
      </c>
      <c r="D18" t="s">
        <v>92</v>
      </c>
      <c r="E18" t="s">
        <v>93</v>
      </c>
      <c r="F18" t="e">
        <f>--ds-btn-basic-primary-outline</f>
        <v>#NAME?</v>
      </c>
      <c r="G18" t="s">
        <v>94</v>
      </c>
      <c r="H18" t="s">
        <v>94</v>
      </c>
      <c r="I18" t="s">
        <v>32</v>
      </c>
      <c r="J18" t="s">
        <v>69</v>
      </c>
      <c r="K18" t="s">
        <v>33</v>
      </c>
      <c r="L18" t="s">
        <v>25</v>
      </c>
      <c r="M18" t="s">
        <v>95</v>
      </c>
      <c r="N18" t="s">
        <v>34</v>
      </c>
      <c r="O18">
        <v>1</v>
      </c>
      <c r="P18">
        <v>0</v>
      </c>
      <c r="Q18">
        <v>0</v>
      </c>
      <c r="R18" s="1">
        <v>46177.690462962964</v>
      </c>
      <c r="S18" s="1">
        <v>46205.611666666664</v>
      </c>
    </row>
    <row r="19" spans="1:19" x14ac:dyDescent="0.25">
      <c r="A19">
        <v>2010101016</v>
      </c>
      <c r="B19" t="s">
        <v>28</v>
      </c>
      <c r="C19" t="s">
        <v>29</v>
      </c>
      <c r="D19" t="s">
        <v>96</v>
      </c>
      <c r="E19" t="s">
        <v>97</v>
      </c>
      <c r="F19" t="e">
        <f>--ds-btn-basic-primary-transition</f>
        <v>#NAME?</v>
      </c>
      <c r="G19" t="s">
        <v>98</v>
      </c>
      <c r="H19" t="s">
        <v>98</v>
      </c>
      <c r="I19" t="s">
        <v>32</v>
      </c>
      <c r="J19" t="s">
        <v>69</v>
      </c>
      <c r="K19" t="s">
        <v>33</v>
      </c>
      <c r="L19" t="s">
        <v>25</v>
      </c>
      <c r="M19" t="s">
        <v>99</v>
      </c>
      <c r="N19" t="s">
        <v>34</v>
      </c>
      <c r="O19">
        <v>1</v>
      </c>
      <c r="P19">
        <v>0</v>
      </c>
      <c r="Q19">
        <v>0</v>
      </c>
      <c r="R19" s="1">
        <v>46177.690462962964</v>
      </c>
      <c r="S19" s="1">
        <v>46205.611666666664</v>
      </c>
    </row>
    <row r="20" spans="1:19" x14ac:dyDescent="0.25">
      <c r="A20">
        <v>2010101017</v>
      </c>
      <c r="B20" t="s">
        <v>28</v>
      </c>
      <c r="C20" t="s">
        <v>29</v>
      </c>
      <c r="D20" t="s">
        <v>100</v>
      </c>
      <c r="E20" t="s">
        <v>101</v>
      </c>
      <c r="F20" t="e">
        <f>--ds-btn-basic-primary-icon-color</f>
        <v>#NAME?</v>
      </c>
      <c r="G20" t="s">
        <v>37</v>
      </c>
      <c r="H20" t="s">
        <v>37</v>
      </c>
      <c r="I20" t="s">
        <v>32</v>
      </c>
      <c r="J20" t="s">
        <v>24</v>
      </c>
      <c r="K20" t="s">
        <v>33</v>
      </c>
      <c r="L20" t="s">
        <v>25</v>
      </c>
      <c r="M20" t="s">
        <v>102</v>
      </c>
      <c r="N20" t="s">
        <v>34</v>
      </c>
      <c r="O20">
        <v>1</v>
      </c>
      <c r="P20">
        <v>0</v>
      </c>
      <c r="Q20">
        <v>0</v>
      </c>
      <c r="R20" s="1">
        <v>46177.690462962964</v>
      </c>
      <c r="S20" s="1">
        <v>46205.611666666664</v>
      </c>
    </row>
    <row r="21" spans="1:19" x14ac:dyDescent="0.25">
      <c r="A21">
        <v>2010101018</v>
      </c>
      <c r="B21" t="s">
        <v>28</v>
      </c>
      <c r="C21" t="s">
        <v>29</v>
      </c>
      <c r="D21" t="s">
        <v>103</v>
      </c>
      <c r="E21" t="s">
        <v>104</v>
      </c>
      <c r="F21" t="e">
        <f>--ds-btn-basic-primary-icon-size</f>
        <v>#NAME?</v>
      </c>
      <c r="G21" t="s">
        <v>105</v>
      </c>
      <c r="H21" t="s">
        <v>105</v>
      </c>
      <c r="I21" t="s">
        <v>32</v>
      </c>
      <c r="J21" t="s">
        <v>78</v>
      </c>
      <c r="K21" t="s">
        <v>33</v>
      </c>
      <c r="L21" t="s">
        <v>25</v>
      </c>
      <c r="M21" t="s">
        <v>106</v>
      </c>
      <c r="N21" t="s">
        <v>34</v>
      </c>
      <c r="O21">
        <v>1</v>
      </c>
      <c r="P21">
        <v>0</v>
      </c>
      <c r="Q21">
        <v>0</v>
      </c>
      <c r="R21" s="1">
        <v>46177.690462962964</v>
      </c>
      <c r="S21" s="1">
        <v>46205.611666666664</v>
      </c>
    </row>
    <row r="22" spans="1:19" x14ac:dyDescent="0.25">
      <c r="A22">
        <v>2010101019</v>
      </c>
      <c r="B22" t="s">
        <v>28</v>
      </c>
      <c r="C22" t="s">
        <v>29</v>
      </c>
      <c r="D22" t="s">
        <v>107</v>
      </c>
      <c r="E22" t="s">
        <v>108</v>
      </c>
      <c r="F22" t="e">
        <f>--ds-btn-basic-primary-line-height</f>
        <v>#NAME?</v>
      </c>
      <c r="G22">
        <v>1.2</v>
      </c>
      <c r="H22">
        <v>1.2</v>
      </c>
      <c r="I22" t="s">
        <v>32</v>
      </c>
      <c r="J22" t="s">
        <v>78</v>
      </c>
      <c r="K22" t="s">
        <v>33</v>
      </c>
      <c r="L22" t="s">
        <v>25</v>
      </c>
      <c r="M22" t="s">
        <v>109</v>
      </c>
      <c r="N22" t="s">
        <v>34</v>
      </c>
      <c r="O22">
        <v>1</v>
      </c>
      <c r="P22">
        <v>0</v>
      </c>
      <c r="Q22">
        <v>0</v>
      </c>
      <c r="R22" s="1">
        <v>46177.690462962964</v>
      </c>
      <c r="S22" s="1">
        <v>46205.611666666664</v>
      </c>
    </row>
    <row r="23" spans="1:19" x14ac:dyDescent="0.25">
      <c r="A23">
        <v>2010101100</v>
      </c>
      <c r="B23" t="s">
        <v>28</v>
      </c>
      <c r="C23" t="s">
        <v>29</v>
      </c>
      <c r="D23" t="s">
        <v>110</v>
      </c>
      <c r="E23" t="s">
        <v>111</v>
      </c>
      <c r="F23" t="e">
        <f>--ds-btn-secondary-bg</f>
        <v>#NAME?</v>
      </c>
      <c r="G23" t="s">
        <v>112</v>
      </c>
      <c r="H23" t="s">
        <v>112</v>
      </c>
      <c r="I23" t="s">
        <v>32</v>
      </c>
      <c r="J23" t="s">
        <v>24</v>
      </c>
      <c r="K23" t="s">
        <v>33</v>
      </c>
      <c r="L23" t="s">
        <v>113</v>
      </c>
      <c r="M23" t="s">
        <v>26</v>
      </c>
      <c r="N23" t="s">
        <v>114</v>
      </c>
      <c r="O23">
        <v>1</v>
      </c>
      <c r="P23">
        <v>1</v>
      </c>
      <c r="Q23">
        <v>1</v>
      </c>
      <c r="R23" s="1">
        <v>46177.836064814815</v>
      </c>
      <c r="S23" s="1">
        <v>46205.611666666664</v>
      </c>
    </row>
    <row r="24" spans="1:19" x14ac:dyDescent="0.25">
      <c r="A24">
        <v>2010101101</v>
      </c>
      <c r="B24" t="s">
        <v>28</v>
      </c>
      <c r="C24" t="s">
        <v>29</v>
      </c>
      <c r="D24" t="s">
        <v>115</v>
      </c>
      <c r="E24" t="s">
        <v>116</v>
      </c>
      <c r="F24" t="e">
        <f>--ds-btn-secondary-text</f>
        <v>#NAME?</v>
      </c>
      <c r="G24" t="s">
        <v>117</v>
      </c>
      <c r="H24" t="s">
        <v>117</v>
      </c>
      <c r="I24" t="s">
        <v>32</v>
      </c>
      <c r="J24" t="s">
        <v>24</v>
      </c>
      <c r="K24" t="s">
        <v>33</v>
      </c>
      <c r="L24" t="s">
        <v>113</v>
      </c>
      <c r="M24" t="s">
        <v>38</v>
      </c>
      <c r="N24" t="s">
        <v>114</v>
      </c>
      <c r="O24">
        <v>1</v>
      </c>
      <c r="P24">
        <v>1</v>
      </c>
      <c r="Q24">
        <v>2</v>
      </c>
      <c r="R24" s="1">
        <v>46177.836064814815</v>
      </c>
      <c r="S24" s="1">
        <v>46205.611666666664</v>
      </c>
    </row>
    <row r="25" spans="1:19" x14ac:dyDescent="0.25">
      <c r="A25">
        <v>2010101102</v>
      </c>
      <c r="B25" t="s">
        <v>28</v>
      </c>
      <c r="C25" t="s">
        <v>29</v>
      </c>
      <c r="D25" t="s">
        <v>118</v>
      </c>
      <c r="E25" t="s">
        <v>119</v>
      </c>
      <c r="F25" t="e">
        <f>--ds-btn-secondary-border</f>
        <v>#NAME?</v>
      </c>
      <c r="G25" t="s">
        <v>120</v>
      </c>
      <c r="H25" t="s">
        <v>120</v>
      </c>
      <c r="I25" t="s">
        <v>32</v>
      </c>
      <c r="J25" t="s">
        <v>24</v>
      </c>
      <c r="K25" t="s">
        <v>33</v>
      </c>
      <c r="L25" t="s">
        <v>113</v>
      </c>
      <c r="M25" t="s">
        <v>42</v>
      </c>
      <c r="N25" t="s">
        <v>114</v>
      </c>
      <c r="O25">
        <v>1</v>
      </c>
      <c r="P25">
        <v>1</v>
      </c>
      <c r="Q25">
        <v>3</v>
      </c>
      <c r="R25" s="1">
        <v>46177.836064814815</v>
      </c>
      <c r="S25" s="1">
        <v>46205.611666666664</v>
      </c>
    </row>
    <row r="26" spans="1:19" x14ac:dyDescent="0.25">
      <c r="A26">
        <v>2010101103</v>
      </c>
      <c r="B26" t="s">
        <v>28</v>
      </c>
      <c r="C26" t="s">
        <v>29</v>
      </c>
      <c r="D26" t="s">
        <v>121</v>
      </c>
      <c r="E26" t="s">
        <v>122</v>
      </c>
      <c r="F26" t="e">
        <f>--ds-btn-secondary-bg-hover</f>
        <v>#NAME?</v>
      </c>
      <c r="G26" t="s">
        <v>123</v>
      </c>
      <c r="H26" t="s">
        <v>123</v>
      </c>
      <c r="I26" t="s">
        <v>32</v>
      </c>
      <c r="J26" t="s">
        <v>24</v>
      </c>
      <c r="K26" t="s">
        <v>33</v>
      </c>
      <c r="L26" t="s">
        <v>113</v>
      </c>
      <c r="M26" t="s">
        <v>124</v>
      </c>
      <c r="N26" t="s">
        <v>114</v>
      </c>
      <c r="O26">
        <v>1</v>
      </c>
      <c r="P26">
        <v>1</v>
      </c>
      <c r="Q26">
        <v>4</v>
      </c>
      <c r="R26" s="1">
        <v>46177.836064814815</v>
      </c>
      <c r="S26" s="1">
        <v>46205.611666666664</v>
      </c>
    </row>
    <row r="27" spans="1:19" x14ac:dyDescent="0.25">
      <c r="A27">
        <v>2010101104</v>
      </c>
      <c r="B27" t="s">
        <v>28</v>
      </c>
      <c r="C27" t="s">
        <v>29</v>
      </c>
      <c r="D27" t="s">
        <v>125</v>
      </c>
      <c r="E27" t="s">
        <v>126</v>
      </c>
      <c r="F27" t="e">
        <f>--ds-btn-secondary-text-hover</f>
        <v>#NAME?</v>
      </c>
      <c r="G27" t="s">
        <v>37</v>
      </c>
      <c r="H27" t="s">
        <v>37</v>
      </c>
      <c r="I27" t="s">
        <v>32</v>
      </c>
      <c r="J27" t="s">
        <v>24</v>
      </c>
      <c r="K27" t="s">
        <v>33</v>
      </c>
      <c r="L27" t="s">
        <v>113</v>
      </c>
      <c r="M27" t="s">
        <v>124</v>
      </c>
      <c r="N27" t="s">
        <v>114</v>
      </c>
      <c r="O27">
        <v>1</v>
      </c>
      <c r="P27">
        <v>1</v>
      </c>
      <c r="Q27">
        <v>5</v>
      </c>
      <c r="R27" s="1">
        <v>46177.836064814815</v>
      </c>
      <c r="S27" s="1">
        <v>46205.611666666664</v>
      </c>
    </row>
    <row r="28" spans="1:19" x14ac:dyDescent="0.25">
      <c r="A28">
        <v>2010101105</v>
      </c>
      <c r="B28" t="s">
        <v>28</v>
      </c>
      <c r="C28" t="s">
        <v>29</v>
      </c>
      <c r="D28" t="s">
        <v>127</v>
      </c>
      <c r="E28" t="s">
        <v>128</v>
      </c>
      <c r="F28" t="e">
        <f>--ds-btn-secondary-border-hover</f>
        <v>#NAME?</v>
      </c>
      <c r="G28" t="s">
        <v>45</v>
      </c>
      <c r="H28" t="s">
        <v>45</v>
      </c>
      <c r="I28" t="s">
        <v>32</v>
      </c>
      <c r="J28" t="s">
        <v>24</v>
      </c>
      <c r="K28" t="s">
        <v>33</v>
      </c>
      <c r="L28" t="s">
        <v>113</v>
      </c>
      <c r="M28" t="s">
        <v>124</v>
      </c>
      <c r="N28" t="s">
        <v>114</v>
      </c>
      <c r="O28">
        <v>1</v>
      </c>
      <c r="P28">
        <v>1</v>
      </c>
      <c r="Q28">
        <v>6</v>
      </c>
      <c r="R28" s="1">
        <v>46177.836064814815</v>
      </c>
      <c r="S28" s="1">
        <v>46205.611666666664</v>
      </c>
    </row>
    <row r="29" spans="1:19" x14ac:dyDescent="0.25">
      <c r="A29">
        <v>2010101106</v>
      </c>
      <c r="B29" t="s">
        <v>28</v>
      </c>
      <c r="C29" t="s">
        <v>29</v>
      </c>
      <c r="D29" t="s">
        <v>129</v>
      </c>
      <c r="E29" t="s">
        <v>130</v>
      </c>
      <c r="F29" t="e">
        <f>--ds-btn-secondary-bg-disabled</f>
        <v>#NAME?</v>
      </c>
      <c r="G29" t="s">
        <v>23</v>
      </c>
      <c r="H29" t="s">
        <v>23</v>
      </c>
      <c r="I29" t="s">
        <v>32</v>
      </c>
      <c r="J29" t="s">
        <v>24</v>
      </c>
      <c r="K29" t="s">
        <v>33</v>
      </c>
      <c r="L29" t="s">
        <v>113</v>
      </c>
      <c r="M29" t="s">
        <v>131</v>
      </c>
      <c r="N29" t="s">
        <v>114</v>
      </c>
      <c r="O29">
        <v>1</v>
      </c>
      <c r="P29">
        <v>1</v>
      </c>
      <c r="Q29">
        <v>7</v>
      </c>
      <c r="R29" s="1">
        <v>46177.836064814815</v>
      </c>
      <c r="S29" s="1">
        <v>46205.611666666664</v>
      </c>
    </row>
    <row r="30" spans="1:19" x14ac:dyDescent="0.25">
      <c r="A30">
        <v>2010101107</v>
      </c>
      <c r="B30" t="s">
        <v>28</v>
      </c>
      <c r="C30" t="s">
        <v>29</v>
      </c>
      <c r="D30" t="s">
        <v>132</v>
      </c>
      <c r="E30" t="s">
        <v>133</v>
      </c>
      <c r="F30" t="e">
        <f>--ds-btn-secondary-text-disabled</f>
        <v>#NAME?</v>
      </c>
      <c r="G30" t="s">
        <v>37</v>
      </c>
      <c r="H30" t="s">
        <v>37</v>
      </c>
      <c r="I30" t="s">
        <v>32</v>
      </c>
      <c r="J30" t="s">
        <v>24</v>
      </c>
      <c r="K30" t="s">
        <v>33</v>
      </c>
      <c r="L30" t="s">
        <v>113</v>
      </c>
      <c r="M30" t="s">
        <v>131</v>
      </c>
      <c r="N30" t="s">
        <v>114</v>
      </c>
      <c r="O30">
        <v>1</v>
      </c>
      <c r="P30">
        <v>1</v>
      </c>
      <c r="Q30">
        <v>8</v>
      </c>
      <c r="R30" s="1">
        <v>46177.836064814815</v>
      </c>
      <c r="S30" s="1">
        <v>46205.611666666664</v>
      </c>
    </row>
    <row r="31" spans="1:19" x14ac:dyDescent="0.25">
      <c r="A31">
        <v>2010101108</v>
      </c>
      <c r="B31" t="s">
        <v>28</v>
      </c>
      <c r="C31" t="s">
        <v>29</v>
      </c>
      <c r="D31" t="s">
        <v>134</v>
      </c>
      <c r="E31" t="s">
        <v>135</v>
      </c>
      <c r="F31" t="e">
        <f>--ds-btn-secondary-border-disabled</f>
        <v>#NAME?</v>
      </c>
      <c r="G31" t="s">
        <v>23</v>
      </c>
      <c r="H31" t="s">
        <v>23</v>
      </c>
      <c r="I31" t="s">
        <v>32</v>
      </c>
      <c r="J31" t="s">
        <v>24</v>
      </c>
      <c r="K31" t="s">
        <v>33</v>
      </c>
      <c r="L31" t="s">
        <v>113</v>
      </c>
      <c r="M31" t="s">
        <v>131</v>
      </c>
      <c r="N31" t="s">
        <v>114</v>
      </c>
      <c r="O31">
        <v>1</v>
      </c>
      <c r="P31">
        <v>1</v>
      </c>
      <c r="Q31">
        <v>9</v>
      </c>
      <c r="R31" s="1">
        <v>46177.836064814815</v>
      </c>
      <c r="S31" s="1">
        <v>46205.611666666664</v>
      </c>
    </row>
    <row r="32" spans="1:19" x14ac:dyDescent="0.25">
      <c r="A32">
        <v>2010101200</v>
      </c>
      <c r="B32" t="s">
        <v>28</v>
      </c>
      <c r="C32" t="s">
        <v>29</v>
      </c>
      <c r="D32" t="s">
        <v>136</v>
      </c>
      <c r="E32" t="s">
        <v>137</v>
      </c>
      <c r="F32" t="e">
        <f>--ds-btn-success-bg</f>
        <v>#NAME?</v>
      </c>
      <c r="G32" t="s">
        <v>138</v>
      </c>
      <c r="H32" t="s">
        <v>138</v>
      </c>
      <c r="I32" t="s">
        <v>32</v>
      </c>
      <c r="J32" t="s">
        <v>24</v>
      </c>
      <c r="K32" t="s">
        <v>33</v>
      </c>
      <c r="L32" t="s">
        <v>139</v>
      </c>
      <c r="M32" t="s">
        <v>26</v>
      </c>
      <c r="N32" t="s">
        <v>140</v>
      </c>
      <c r="O32">
        <v>1</v>
      </c>
      <c r="P32">
        <v>1</v>
      </c>
      <c r="Q32">
        <v>1</v>
      </c>
      <c r="R32" s="1">
        <v>46177.836064814815</v>
      </c>
      <c r="S32" s="1">
        <v>46205.611666666664</v>
      </c>
    </row>
    <row r="33" spans="1:19" x14ac:dyDescent="0.25">
      <c r="A33">
        <v>2010101201</v>
      </c>
      <c r="B33" t="s">
        <v>28</v>
      </c>
      <c r="C33" t="s">
        <v>29</v>
      </c>
      <c r="D33" t="s">
        <v>141</v>
      </c>
      <c r="E33" t="s">
        <v>142</v>
      </c>
      <c r="F33" t="e">
        <f>--ds-btn-success-text</f>
        <v>#NAME?</v>
      </c>
      <c r="G33" t="s">
        <v>37</v>
      </c>
      <c r="H33" t="s">
        <v>37</v>
      </c>
      <c r="I33" t="s">
        <v>32</v>
      </c>
      <c r="J33" t="s">
        <v>24</v>
      </c>
      <c r="K33" t="s">
        <v>33</v>
      </c>
      <c r="L33" t="s">
        <v>139</v>
      </c>
      <c r="M33" t="s">
        <v>38</v>
      </c>
      <c r="N33" t="s">
        <v>140</v>
      </c>
      <c r="O33">
        <v>1</v>
      </c>
      <c r="P33">
        <v>1</v>
      </c>
      <c r="Q33">
        <v>2</v>
      </c>
      <c r="R33" s="1">
        <v>46177.836064814815</v>
      </c>
      <c r="S33" s="1">
        <v>46205.611666666664</v>
      </c>
    </row>
    <row r="34" spans="1:19" x14ac:dyDescent="0.25">
      <c r="A34">
        <v>2010101202</v>
      </c>
      <c r="B34" t="s">
        <v>28</v>
      </c>
      <c r="C34" t="s">
        <v>29</v>
      </c>
      <c r="D34" t="s">
        <v>143</v>
      </c>
      <c r="E34" t="s">
        <v>144</v>
      </c>
      <c r="F34" t="e">
        <f>--ds-btn-success-border</f>
        <v>#NAME?</v>
      </c>
      <c r="G34" t="s">
        <v>138</v>
      </c>
      <c r="H34" t="s">
        <v>138</v>
      </c>
      <c r="I34" t="s">
        <v>32</v>
      </c>
      <c r="J34" t="s">
        <v>24</v>
      </c>
      <c r="K34" t="s">
        <v>33</v>
      </c>
      <c r="L34" t="s">
        <v>139</v>
      </c>
      <c r="M34" t="s">
        <v>42</v>
      </c>
      <c r="N34" t="s">
        <v>140</v>
      </c>
      <c r="O34">
        <v>1</v>
      </c>
      <c r="P34">
        <v>1</v>
      </c>
      <c r="Q34">
        <v>3</v>
      </c>
      <c r="R34" s="1">
        <v>46177.836064814815</v>
      </c>
      <c r="S34" s="1">
        <v>46205.611666666664</v>
      </c>
    </row>
    <row r="35" spans="1:19" x14ac:dyDescent="0.25">
      <c r="A35">
        <v>2010101203</v>
      </c>
      <c r="B35" t="s">
        <v>28</v>
      </c>
      <c r="C35" t="s">
        <v>29</v>
      </c>
      <c r="D35" t="s">
        <v>145</v>
      </c>
      <c r="E35" t="s">
        <v>146</v>
      </c>
      <c r="F35" t="e">
        <f>--ds-btn-success-bg-hover</f>
        <v>#NAME?</v>
      </c>
      <c r="G35" t="s">
        <v>147</v>
      </c>
      <c r="H35" t="s">
        <v>147</v>
      </c>
      <c r="I35" t="s">
        <v>32</v>
      </c>
      <c r="J35" t="s">
        <v>24</v>
      </c>
      <c r="K35" t="s">
        <v>33</v>
      </c>
      <c r="L35" t="s">
        <v>139</v>
      </c>
      <c r="M35" t="s">
        <v>124</v>
      </c>
      <c r="N35" t="s">
        <v>140</v>
      </c>
      <c r="O35">
        <v>1</v>
      </c>
      <c r="P35">
        <v>1</v>
      </c>
      <c r="Q35">
        <v>4</v>
      </c>
      <c r="R35" s="1">
        <v>46177.836064814815</v>
      </c>
      <c r="S35" s="1">
        <v>46205.611666666664</v>
      </c>
    </row>
    <row r="36" spans="1:19" x14ac:dyDescent="0.25">
      <c r="A36">
        <v>2010101204</v>
      </c>
      <c r="B36" t="s">
        <v>28</v>
      </c>
      <c r="C36" t="s">
        <v>29</v>
      </c>
      <c r="D36" t="s">
        <v>148</v>
      </c>
      <c r="E36" t="s">
        <v>149</v>
      </c>
      <c r="F36" t="e">
        <f>--ds-btn-success-text-hover</f>
        <v>#NAME?</v>
      </c>
      <c r="G36" t="s">
        <v>37</v>
      </c>
      <c r="H36" t="s">
        <v>37</v>
      </c>
      <c r="I36" t="s">
        <v>32</v>
      </c>
      <c r="J36" t="s">
        <v>24</v>
      </c>
      <c r="K36" t="s">
        <v>33</v>
      </c>
      <c r="L36" t="s">
        <v>139</v>
      </c>
      <c r="M36" t="s">
        <v>124</v>
      </c>
      <c r="N36" t="s">
        <v>140</v>
      </c>
      <c r="O36">
        <v>1</v>
      </c>
      <c r="P36">
        <v>1</v>
      </c>
      <c r="Q36">
        <v>5</v>
      </c>
      <c r="R36" s="1">
        <v>46177.836064814815</v>
      </c>
      <c r="S36" s="1">
        <v>46205.611666666664</v>
      </c>
    </row>
    <row r="37" spans="1:19" x14ac:dyDescent="0.25">
      <c r="A37">
        <v>2010101205</v>
      </c>
      <c r="B37" t="s">
        <v>28</v>
      </c>
      <c r="C37" t="s">
        <v>29</v>
      </c>
      <c r="D37" t="s">
        <v>150</v>
      </c>
      <c r="E37" t="s">
        <v>151</v>
      </c>
      <c r="F37" t="e">
        <f>--ds-btn-success-border-hover</f>
        <v>#NAME?</v>
      </c>
      <c r="G37" t="s">
        <v>45</v>
      </c>
      <c r="H37" t="s">
        <v>45</v>
      </c>
      <c r="I37" t="s">
        <v>32</v>
      </c>
      <c r="J37" t="s">
        <v>24</v>
      </c>
      <c r="K37" t="s">
        <v>33</v>
      </c>
      <c r="L37" t="s">
        <v>139</v>
      </c>
      <c r="M37" t="s">
        <v>124</v>
      </c>
      <c r="N37" t="s">
        <v>140</v>
      </c>
      <c r="O37">
        <v>1</v>
      </c>
      <c r="P37">
        <v>1</v>
      </c>
      <c r="Q37">
        <v>6</v>
      </c>
      <c r="R37" s="1">
        <v>46177.836064814815</v>
      </c>
      <c r="S37" s="1">
        <v>46205.611666666664</v>
      </c>
    </row>
    <row r="38" spans="1:19" x14ac:dyDescent="0.25">
      <c r="A38">
        <v>2010101206</v>
      </c>
      <c r="B38" t="s">
        <v>28</v>
      </c>
      <c r="C38" t="s">
        <v>29</v>
      </c>
      <c r="D38" t="s">
        <v>152</v>
      </c>
      <c r="E38" t="s">
        <v>153</v>
      </c>
      <c r="F38" t="e">
        <f>--ds-btn-success-bg-disabled</f>
        <v>#NAME?</v>
      </c>
      <c r="G38" t="s">
        <v>23</v>
      </c>
      <c r="H38" t="s">
        <v>23</v>
      </c>
      <c r="I38" t="s">
        <v>32</v>
      </c>
      <c r="J38" t="s">
        <v>24</v>
      </c>
      <c r="K38" t="s">
        <v>33</v>
      </c>
      <c r="L38" t="s">
        <v>139</v>
      </c>
      <c r="M38" t="s">
        <v>131</v>
      </c>
      <c r="N38" t="s">
        <v>140</v>
      </c>
      <c r="O38">
        <v>1</v>
      </c>
      <c r="P38">
        <v>1</v>
      </c>
      <c r="Q38">
        <v>7</v>
      </c>
      <c r="R38" s="1">
        <v>46177.836064814815</v>
      </c>
      <c r="S38" s="1">
        <v>46205.611666666664</v>
      </c>
    </row>
    <row r="39" spans="1:19" x14ac:dyDescent="0.25">
      <c r="A39">
        <v>2010101207</v>
      </c>
      <c r="B39" t="s">
        <v>28</v>
      </c>
      <c r="C39" t="s">
        <v>29</v>
      </c>
      <c r="D39" t="s">
        <v>154</v>
      </c>
      <c r="E39" t="s">
        <v>155</v>
      </c>
      <c r="F39" t="e">
        <f>--ds-btn-success-text-disabled</f>
        <v>#NAME?</v>
      </c>
      <c r="G39" t="s">
        <v>37</v>
      </c>
      <c r="H39" t="s">
        <v>37</v>
      </c>
      <c r="I39" t="s">
        <v>32</v>
      </c>
      <c r="J39" t="s">
        <v>24</v>
      </c>
      <c r="K39" t="s">
        <v>33</v>
      </c>
      <c r="L39" t="s">
        <v>139</v>
      </c>
      <c r="M39" t="s">
        <v>131</v>
      </c>
      <c r="N39" t="s">
        <v>140</v>
      </c>
      <c r="O39">
        <v>1</v>
      </c>
      <c r="P39">
        <v>1</v>
      </c>
      <c r="Q39">
        <v>8</v>
      </c>
      <c r="R39" s="1">
        <v>46177.836064814815</v>
      </c>
      <c r="S39" s="1">
        <v>46205.611666666664</v>
      </c>
    </row>
    <row r="40" spans="1:19" x14ac:dyDescent="0.25">
      <c r="A40">
        <v>2010101208</v>
      </c>
      <c r="B40" t="s">
        <v>28</v>
      </c>
      <c r="C40" t="s">
        <v>29</v>
      </c>
      <c r="D40" t="s">
        <v>156</v>
      </c>
      <c r="E40" t="s">
        <v>157</v>
      </c>
      <c r="F40" t="e">
        <f>--ds-btn-success-border-disabled</f>
        <v>#NAME?</v>
      </c>
      <c r="G40" t="s">
        <v>23</v>
      </c>
      <c r="H40" t="s">
        <v>23</v>
      </c>
      <c r="I40" t="s">
        <v>32</v>
      </c>
      <c r="J40" t="s">
        <v>24</v>
      </c>
      <c r="K40" t="s">
        <v>33</v>
      </c>
      <c r="L40" t="s">
        <v>139</v>
      </c>
      <c r="M40" t="s">
        <v>131</v>
      </c>
      <c r="N40" t="s">
        <v>140</v>
      </c>
      <c r="O40">
        <v>1</v>
      </c>
      <c r="P40">
        <v>1</v>
      </c>
      <c r="Q40">
        <v>9</v>
      </c>
      <c r="R40" s="1">
        <v>46177.836064814815</v>
      </c>
      <c r="S40" s="1">
        <v>46205.611666666664</v>
      </c>
    </row>
    <row r="41" spans="1:19" x14ac:dyDescent="0.25">
      <c r="A41">
        <v>2010101300</v>
      </c>
      <c r="B41" t="s">
        <v>28</v>
      </c>
      <c r="C41" t="s">
        <v>29</v>
      </c>
      <c r="D41" t="s">
        <v>158</v>
      </c>
      <c r="E41" t="s">
        <v>159</v>
      </c>
      <c r="F41" t="e">
        <f>--ds-btn-danger-bg</f>
        <v>#NAME?</v>
      </c>
      <c r="G41" t="s">
        <v>160</v>
      </c>
      <c r="H41" t="s">
        <v>160</v>
      </c>
      <c r="I41" t="s">
        <v>32</v>
      </c>
      <c r="J41" t="s">
        <v>24</v>
      </c>
      <c r="K41" t="s">
        <v>33</v>
      </c>
      <c r="L41" t="s">
        <v>161</v>
      </c>
      <c r="M41" t="s">
        <v>26</v>
      </c>
      <c r="N41" t="s">
        <v>162</v>
      </c>
      <c r="O41">
        <v>1</v>
      </c>
      <c r="P41">
        <v>1</v>
      </c>
      <c r="Q41">
        <v>1</v>
      </c>
      <c r="R41" s="1">
        <v>46177.836064814815</v>
      </c>
      <c r="S41" s="1">
        <v>46205.611666666664</v>
      </c>
    </row>
    <row r="42" spans="1:19" x14ac:dyDescent="0.25">
      <c r="A42">
        <v>2010101301</v>
      </c>
      <c r="B42" t="s">
        <v>28</v>
      </c>
      <c r="C42" t="s">
        <v>29</v>
      </c>
      <c r="D42" t="s">
        <v>163</v>
      </c>
      <c r="E42" t="s">
        <v>164</v>
      </c>
      <c r="F42" t="e">
        <f>--ds-btn-danger-text</f>
        <v>#NAME?</v>
      </c>
      <c r="G42" t="s">
        <v>37</v>
      </c>
      <c r="H42" t="s">
        <v>37</v>
      </c>
      <c r="I42" t="s">
        <v>32</v>
      </c>
      <c r="J42" t="s">
        <v>24</v>
      </c>
      <c r="K42" t="s">
        <v>33</v>
      </c>
      <c r="L42" t="s">
        <v>161</v>
      </c>
      <c r="M42" t="s">
        <v>38</v>
      </c>
      <c r="N42" t="s">
        <v>162</v>
      </c>
      <c r="O42">
        <v>1</v>
      </c>
      <c r="P42">
        <v>1</v>
      </c>
      <c r="Q42">
        <v>2</v>
      </c>
      <c r="R42" s="1">
        <v>46177.836064814815</v>
      </c>
      <c r="S42" s="1">
        <v>46205.611666666664</v>
      </c>
    </row>
    <row r="43" spans="1:19" x14ac:dyDescent="0.25">
      <c r="A43">
        <v>2010101302</v>
      </c>
      <c r="B43" t="s">
        <v>28</v>
      </c>
      <c r="C43" t="s">
        <v>29</v>
      </c>
      <c r="D43" t="s">
        <v>165</v>
      </c>
      <c r="E43" t="s">
        <v>166</v>
      </c>
      <c r="F43" t="e">
        <f>--ds-btn-danger-border</f>
        <v>#NAME?</v>
      </c>
      <c r="G43" t="s">
        <v>160</v>
      </c>
      <c r="H43" t="s">
        <v>160</v>
      </c>
      <c r="I43" t="s">
        <v>32</v>
      </c>
      <c r="J43" t="s">
        <v>24</v>
      </c>
      <c r="K43" t="s">
        <v>33</v>
      </c>
      <c r="L43" t="s">
        <v>161</v>
      </c>
      <c r="M43" t="s">
        <v>42</v>
      </c>
      <c r="N43" t="s">
        <v>162</v>
      </c>
      <c r="O43">
        <v>1</v>
      </c>
      <c r="P43">
        <v>1</v>
      </c>
      <c r="Q43">
        <v>3</v>
      </c>
      <c r="R43" s="1">
        <v>46177.836064814815</v>
      </c>
      <c r="S43" s="1">
        <v>46205.611666666664</v>
      </c>
    </row>
    <row r="44" spans="1:19" x14ac:dyDescent="0.25">
      <c r="A44">
        <v>2010101303</v>
      </c>
      <c r="B44" t="s">
        <v>28</v>
      </c>
      <c r="C44" t="s">
        <v>29</v>
      </c>
      <c r="D44" t="s">
        <v>167</v>
      </c>
      <c r="E44" t="s">
        <v>168</v>
      </c>
      <c r="F44" t="e">
        <f>--ds-btn-danger-bg-hover</f>
        <v>#NAME?</v>
      </c>
      <c r="G44" t="s">
        <v>169</v>
      </c>
      <c r="H44" t="s">
        <v>169</v>
      </c>
      <c r="I44" t="s">
        <v>32</v>
      </c>
      <c r="J44" t="s">
        <v>24</v>
      </c>
      <c r="K44" t="s">
        <v>33</v>
      </c>
      <c r="L44" t="s">
        <v>161</v>
      </c>
      <c r="M44" t="s">
        <v>124</v>
      </c>
      <c r="N44" t="s">
        <v>162</v>
      </c>
      <c r="O44">
        <v>1</v>
      </c>
      <c r="P44">
        <v>1</v>
      </c>
      <c r="Q44">
        <v>4</v>
      </c>
      <c r="R44" s="1">
        <v>46177.836064814815</v>
      </c>
      <c r="S44" s="1">
        <v>46205.611666666664</v>
      </c>
    </row>
    <row r="45" spans="1:19" x14ac:dyDescent="0.25">
      <c r="A45">
        <v>2010101304</v>
      </c>
      <c r="B45" t="s">
        <v>28</v>
      </c>
      <c r="C45" t="s">
        <v>29</v>
      </c>
      <c r="D45" t="s">
        <v>170</v>
      </c>
      <c r="E45" t="s">
        <v>171</v>
      </c>
      <c r="F45" t="e">
        <f>--ds-btn-danger-text-hover</f>
        <v>#NAME?</v>
      </c>
      <c r="G45" t="s">
        <v>37</v>
      </c>
      <c r="H45" t="s">
        <v>37</v>
      </c>
      <c r="I45" t="s">
        <v>32</v>
      </c>
      <c r="J45" t="s">
        <v>24</v>
      </c>
      <c r="K45" t="s">
        <v>33</v>
      </c>
      <c r="L45" t="s">
        <v>161</v>
      </c>
      <c r="M45" t="s">
        <v>124</v>
      </c>
      <c r="N45" t="s">
        <v>162</v>
      </c>
      <c r="O45">
        <v>1</v>
      </c>
      <c r="P45">
        <v>1</v>
      </c>
      <c r="Q45">
        <v>5</v>
      </c>
      <c r="R45" s="1">
        <v>46177.836064814815</v>
      </c>
      <c r="S45" s="1">
        <v>46205.611666666664</v>
      </c>
    </row>
    <row r="46" spans="1:19" x14ac:dyDescent="0.25">
      <c r="A46">
        <v>2010101305</v>
      </c>
      <c r="B46" t="s">
        <v>28</v>
      </c>
      <c r="C46" t="s">
        <v>29</v>
      </c>
      <c r="D46" t="s">
        <v>172</v>
      </c>
      <c r="E46" t="s">
        <v>173</v>
      </c>
      <c r="F46" t="e">
        <f>--ds-btn-danger-border-hover</f>
        <v>#NAME?</v>
      </c>
      <c r="G46" t="s">
        <v>45</v>
      </c>
      <c r="H46" t="s">
        <v>45</v>
      </c>
      <c r="I46" t="s">
        <v>32</v>
      </c>
      <c r="J46" t="s">
        <v>24</v>
      </c>
      <c r="K46" t="s">
        <v>33</v>
      </c>
      <c r="L46" t="s">
        <v>161</v>
      </c>
      <c r="M46" t="s">
        <v>124</v>
      </c>
      <c r="N46" t="s">
        <v>162</v>
      </c>
      <c r="O46">
        <v>1</v>
      </c>
      <c r="P46">
        <v>1</v>
      </c>
      <c r="Q46">
        <v>6</v>
      </c>
      <c r="R46" s="1">
        <v>46177.836064814815</v>
      </c>
      <c r="S46" s="1">
        <v>46205.611666666664</v>
      </c>
    </row>
    <row r="47" spans="1:19" x14ac:dyDescent="0.25">
      <c r="A47">
        <v>2010101306</v>
      </c>
      <c r="B47" t="s">
        <v>28</v>
      </c>
      <c r="C47" t="s">
        <v>29</v>
      </c>
      <c r="D47" t="s">
        <v>174</v>
      </c>
      <c r="E47" t="s">
        <v>175</v>
      </c>
      <c r="F47" t="e">
        <f>--ds-btn-danger-bg-disabled</f>
        <v>#NAME?</v>
      </c>
      <c r="G47" t="s">
        <v>23</v>
      </c>
      <c r="H47" t="s">
        <v>23</v>
      </c>
      <c r="I47" t="s">
        <v>32</v>
      </c>
      <c r="J47" t="s">
        <v>24</v>
      </c>
      <c r="K47" t="s">
        <v>33</v>
      </c>
      <c r="L47" t="s">
        <v>161</v>
      </c>
      <c r="M47" t="s">
        <v>131</v>
      </c>
      <c r="N47" t="s">
        <v>162</v>
      </c>
      <c r="O47">
        <v>1</v>
      </c>
      <c r="P47">
        <v>1</v>
      </c>
      <c r="Q47">
        <v>7</v>
      </c>
      <c r="R47" s="1">
        <v>46177.836064814815</v>
      </c>
      <c r="S47" s="1">
        <v>46205.611666666664</v>
      </c>
    </row>
    <row r="48" spans="1:19" x14ac:dyDescent="0.25">
      <c r="A48">
        <v>2010101307</v>
      </c>
      <c r="B48" t="s">
        <v>28</v>
      </c>
      <c r="C48" t="s">
        <v>29</v>
      </c>
      <c r="D48" t="s">
        <v>176</v>
      </c>
      <c r="E48" t="s">
        <v>177</v>
      </c>
      <c r="F48" t="e">
        <f>--ds-btn-danger-text-disabled</f>
        <v>#NAME?</v>
      </c>
      <c r="G48" t="s">
        <v>37</v>
      </c>
      <c r="H48" t="s">
        <v>37</v>
      </c>
      <c r="I48" t="s">
        <v>32</v>
      </c>
      <c r="J48" t="s">
        <v>24</v>
      </c>
      <c r="K48" t="s">
        <v>33</v>
      </c>
      <c r="L48" t="s">
        <v>161</v>
      </c>
      <c r="M48" t="s">
        <v>131</v>
      </c>
      <c r="N48" t="s">
        <v>162</v>
      </c>
      <c r="O48">
        <v>1</v>
      </c>
      <c r="P48">
        <v>1</v>
      </c>
      <c r="Q48">
        <v>8</v>
      </c>
      <c r="R48" s="1">
        <v>46177.836064814815</v>
      </c>
      <c r="S48" s="1">
        <v>46205.611666666664</v>
      </c>
    </row>
    <row r="49" spans="1:19" x14ac:dyDescent="0.25">
      <c r="A49">
        <v>2010101308</v>
      </c>
      <c r="B49" t="s">
        <v>28</v>
      </c>
      <c r="C49" t="s">
        <v>29</v>
      </c>
      <c r="D49" t="s">
        <v>178</v>
      </c>
      <c r="E49" t="s">
        <v>179</v>
      </c>
      <c r="F49" t="e">
        <f>--ds-btn-danger-border-disabled</f>
        <v>#NAME?</v>
      </c>
      <c r="G49" t="s">
        <v>23</v>
      </c>
      <c r="H49" t="s">
        <v>23</v>
      </c>
      <c r="I49" t="s">
        <v>32</v>
      </c>
      <c r="J49" t="s">
        <v>24</v>
      </c>
      <c r="K49" t="s">
        <v>33</v>
      </c>
      <c r="L49" t="s">
        <v>161</v>
      </c>
      <c r="M49" t="s">
        <v>131</v>
      </c>
      <c r="N49" t="s">
        <v>162</v>
      </c>
      <c r="O49">
        <v>1</v>
      </c>
      <c r="P49">
        <v>1</v>
      </c>
      <c r="Q49">
        <v>9</v>
      </c>
      <c r="R49" s="1">
        <v>46177.836064814815</v>
      </c>
      <c r="S49" s="1">
        <v>46205.611666666664</v>
      </c>
    </row>
    <row r="50" spans="1:19" x14ac:dyDescent="0.25">
      <c r="A50">
        <v>2010101400</v>
      </c>
      <c r="B50" t="s">
        <v>28</v>
      </c>
      <c r="C50" t="s">
        <v>29</v>
      </c>
      <c r="D50" t="s">
        <v>180</v>
      </c>
      <c r="E50" t="s">
        <v>181</v>
      </c>
      <c r="F50" t="e">
        <f>--ds-btn-warning-bg</f>
        <v>#NAME?</v>
      </c>
      <c r="G50" t="s">
        <v>182</v>
      </c>
      <c r="H50" t="s">
        <v>182</v>
      </c>
      <c r="I50" t="s">
        <v>32</v>
      </c>
      <c r="J50" t="s">
        <v>24</v>
      </c>
      <c r="K50" t="s">
        <v>33</v>
      </c>
      <c r="L50" t="s">
        <v>183</v>
      </c>
      <c r="M50" t="s">
        <v>26</v>
      </c>
      <c r="N50" t="s">
        <v>184</v>
      </c>
      <c r="O50">
        <v>1</v>
      </c>
      <c r="P50">
        <v>1</v>
      </c>
      <c r="Q50">
        <v>1</v>
      </c>
      <c r="R50" s="1">
        <v>46177.836064814815</v>
      </c>
      <c r="S50" s="1">
        <v>46205.611666666664</v>
      </c>
    </row>
    <row r="51" spans="1:19" x14ac:dyDescent="0.25">
      <c r="A51">
        <v>2010101401</v>
      </c>
      <c r="B51" t="s">
        <v>28</v>
      </c>
      <c r="C51" t="s">
        <v>29</v>
      </c>
      <c r="D51" t="s">
        <v>185</v>
      </c>
      <c r="E51" t="s">
        <v>186</v>
      </c>
      <c r="F51" t="e">
        <f>--ds-btn-warning-text</f>
        <v>#NAME?</v>
      </c>
      <c r="G51" t="s">
        <v>117</v>
      </c>
      <c r="H51" t="s">
        <v>117</v>
      </c>
      <c r="I51" t="s">
        <v>32</v>
      </c>
      <c r="J51" t="s">
        <v>24</v>
      </c>
      <c r="K51" t="s">
        <v>33</v>
      </c>
      <c r="L51" t="s">
        <v>183</v>
      </c>
      <c r="M51" t="s">
        <v>38</v>
      </c>
      <c r="N51" t="s">
        <v>184</v>
      </c>
      <c r="O51">
        <v>1</v>
      </c>
      <c r="P51">
        <v>1</v>
      </c>
      <c r="Q51">
        <v>2</v>
      </c>
      <c r="R51" s="1">
        <v>46177.836064814815</v>
      </c>
      <c r="S51" s="1">
        <v>46205.611666666664</v>
      </c>
    </row>
    <row r="52" spans="1:19" x14ac:dyDescent="0.25">
      <c r="A52">
        <v>2010101402</v>
      </c>
      <c r="B52" t="s">
        <v>28</v>
      </c>
      <c r="C52" t="s">
        <v>29</v>
      </c>
      <c r="D52" t="s">
        <v>187</v>
      </c>
      <c r="E52" t="s">
        <v>188</v>
      </c>
      <c r="F52" t="e">
        <f>--ds-btn-warning-border</f>
        <v>#NAME?</v>
      </c>
      <c r="G52" t="s">
        <v>182</v>
      </c>
      <c r="H52" t="s">
        <v>182</v>
      </c>
      <c r="I52" t="s">
        <v>32</v>
      </c>
      <c r="J52" t="s">
        <v>24</v>
      </c>
      <c r="K52" t="s">
        <v>33</v>
      </c>
      <c r="L52" t="s">
        <v>183</v>
      </c>
      <c r="M52" t="s">
        <v>42</v>
      </c>
      <c r="N52" t="s">
        <v>184</v>
      </c>
      <c r="O52">
        <v>1</v>
      </c>
      <c r="P52">
        <v>1</v>
      </c>
      <c r="Q52">
        <v>3</v>
      </c>
      <c r="R52" s="1">
        <v>46177.836064814815</v>
      </c>
      <c r="S52" s="1">
        <v>46205.611666666664</v>
      </c>
    </row>
    <row r="53" spans="1:19" x14ac:dyDescent="0.25">
      <c r="A53">
        <v>2010101403</v>
      </c>
      <c r="B53" t="s">
        <v>28</v>
      </c>
      <c r="C53" t="s">
        <v>29</v>
      </c>
      <c r="D53" t="s">
        <v>189</v>
      </c>
      <c r="E53" t="s">
        <v>190</v>
      </c>
      <c r="F53" t="e">
        <f>--ds-btn-warning-bg-hover</f>
        <v>#NAME?</v>
      </c>
      <c r="G53" t="s">
        <v>191</v>
      </c>
      <c r="H53" t="s">
        <v>191</v>
      </c>
      <c r="I53" t="s">
        <v>32</v>
      </c>
      <c r="J53" t="s">
        <v>24</v>
      </c>
      <c r="K53" t="s">
        <v>33</v>
      </c>
      <c r="L53" t="s">
        <v>183</v>
      </c>
      <c r="M53" t="s">
        <v>124</v>
      </c>
      <c r="N53" t="s">
        <v>184</v>
      </c>
      <c r="O53">
        <v>1</v>
      </c>
      <c r="P53">
        <v>1</v>
      </c>
      <c r="Q53">
        <v>4</v>
      </c>
      <c r="R53" s="1">
        <v>46177.836064814815</v>
      </c>
      <c r="S53" s="1">
        <v>46205.611666666664</v>
      </c>
    </row>
    <row r="54" spans="1:19" x14ac:dyDescent="0.25">
      <c r="A54">
        <v>2010101404</v>
      </c>
      <c r="B54" t="s">
        <v>28</v>
      </c>
      <c r="C54" t="s">
        <v>29</v>
      </c>
      <c r="D54" t="s">
        <v>192</v>
      </c>
      <c r="E54" t="s">
        <v>193</v>
      </c>
      <c r="F54" t="e">
        <f>--ds-btn-warning-text-hover</f>
        <v>#NAME?</v>
      </c>
      <c r="G54" t="s">
        <v>37</v>
      </c>
      <c r="H54" t="s">
        <v>37</v>
      </c>
      <c r="I54" t="s">
        <v>32</v>
      </c>
      <c r="J54" t="s">
        <v>24</v>
      </c>
      <c r="K54" t="s">
        <v>33</v>
      </c>
      <c r="L54" t="s">
        <v>183</v>
      </c>
      <c r="M54" t="s">
        <v>124</v>
      </c>
      <c r="N54" t="s">
        <v>184</v>
      </c>
      <c r="O54">
        <v>1</v>
      </c>
      <c r="P54">
        <v>1</v>
      </c>
      <c r="Q54">
        <v>5</v>
      </c>
      <c r="R54" s="1">
        <v>46177.836064814815</v>
      </c>
      <c r="S54" s="1">
        <v>46205.611666666664</v>
      </c>
    </row>
    <row r="55" spans="1:19" x14ac:dyDescent="0.25">
      <c r="A55">
        <v>2010101405</v>
      </c>
      <c r="B55" t="s">
        <v>28</v>
      </c>
      <c r="C55" t="s">
        <v>29</v>
      </c>
      <c r="D55" t="s">
        <v>194</v>
      </c>
      <c r="E55" t="s">
        <v>195</v>
      </c>
      <c r="F55" t="e">
        <f>--ds-btn-warning-border-hover</f>
        <v>#NAME?</v>
      </c>
      <c r="G55" t="s">
        <v>45</v>
      </c>
      <c r="H55" t="s">
        <v>45</v>
      </c>
      <c r="I55" t="s">
        <v>32</v>
      </c>
      <c r="J55" t="s">
        <v>24</v>
      </c>
      <c r="K55" t="s">
        <v>33</v>
      </c>
      <c r="L55" t="s">
        <v>183</v>
      </c>
      <c r="M55" t="s">
        <v>124</v>
      </c>
      <c r="N55" t="s">
        <v>184</v>
      </c>
      <c r="O55">
        <v>1</v>
      </c>
      <c r="P55">
        <v>1</v>
      </c>
      <c r="Q55">
        <v>6</v>
      </c>
      <c r="R55" s="1">
        <v>46177.836064814815</v>
      </c>
      <c r="S55" s="1">
        <v>46205.611666666664</v>
      </c>
    </row>
    <row r="56" spans="1:19" x14ac:dyDescent="0.25">
      <c r="A56">
        <v>2010101406</v>
      </c>
      <c r="B56" t="s">
        <v>28</v>
      </c>
      <c r="C56" t="s">
        <v>29</v>
      </c>
      <c r="D56" t="s">
        <v>196</v>
      </c>
      <c r="E56" t="s">
        <v>197</v>
      </c>
      <c r="F56" t="e">
        <f>--ds-btn-warning-bg-disabled</f>
        <v>#NAME?</v>
      </c>
      <c r="G56" t="s">
        <v>23</v>
      </c>
      <c r="H56" t="s">
        <v>23</v>
      </c>
      <c r="I56" t="s">
        <v>32</v>
      </c>
      <c r="J56" t="s">
        <v>24</v>
      </c>
      <c r="K56" t="s">
        <v>33</v>
      </c>
      <c r="L56" t="s">
        <v>183</v>
      </c>
      <c r="M56" t="s">
        <v>131</v>
      </c>
      <c r="N56" t="s">
        <v>184</v>
      </c>
      <c r="O56">
        <v>1</v>
      </c>
      <c r="P56">
        <v>1</v>
      </c>
      <c r="Q56">
        <v>7</v>
      </c>
      <c r="R56" s="1">
        <v>46177.836064814815</v>
      </c>
      <c r="S56" s="1">
        <v>46205.611666666664</v>
      </c>
    </row>
    <row r="57" spans="1:19" x14ac:dyDescent="0.25">
      <c r="A57">
        <v>2010101407</v>
      </c>
      <c r="B57" t="s">
        <v>28</v>
      </c>
      <c r="C57" t="s">
        <v>29</v>
      </c>
      <c r="D57" t="s">
        <v>198</v>
      </c>
      <c r="E57" t="s">
        <v>199</v>
      </c>
      <c r="F57" t="e">
        <f>--ds-btn-warning-text-disabled</f>
        <v>#NAME?</v>
      </c>
      <c r="G57" t="s">
        <v>37</v>
      </c>
      <c r="H57" t="s">
        <v>37</v>
      </c>
      <c r="I57" t="s">
        <v>32</v>
      </c>
      <c r="J57" t="s">
        <v>24</v>
      </c>
      <c r="K57" t="s">
        <v>33</v>
      </c>
      <c r="L57" t="s">
        <v>183</v>
      </c>
      <c r="M57" t="s">
        <v>131</v>
      </c>
      <c r="N57" t="s">
        <v>184</v>
      </c>
      <c r="O57">
        <v>1</v>
      </c>
      <c r="P57">
        <v>1</v>
      </c>
      <c r="Q57">
        <v>8</v>
      </c>
      <c r="R57" s="1">
        <v>46177.836064814815</v>
      </c>
      <c r="S57" s="1">
        <v>46205.611666666664</v>
      </c>
    </row>
    <row r="58" spans="1:19" x14ac:dyDescent="0.25">
      <c r="A58">
        <v>2010101408</v>
      </c>
      <c r="B58" t="s">
        <v>28</v>
      </c>
      <c r="C58" t="s">
        <v>29</v>
      </c>
      <c r="D58" t="s">
        <v>200</v>
      </c>
      <c r="E58" t="s">
        <v>201</v>
      </c>
      <c r="F58" t="e">
        <f>--ds-btn-warning-border-disabled</f>
        <v>#NAME?</v>
      </c>
      <c r="G58" t="s">
        <v>23</v>
      </c>
      <c r="H58" t="s">
        <v>23</v>
      </c>
      <c r="I58" t="s">
        <v>32</v>
      </c>
      <c r="J58" t="s">
        <v>24</v>
      </c>
      <c r="K58" t="s">
        <v>33</v>
      </c>
      <c r="L58" t="s">
        <v>183</v>
      </c>
      <c r="M58" t="s">
        <v>131</v>
      </c>
      <c r="N58" t="s">
        <v>184</v>
      </c>
      <c r="O58">
        <v>1</v>
      </c>
      <c r="P58">
        <v>1</v>
      </c>
      <c r="Q58">
        <v>9</v>
      </c>
      <c r="R58" s="1">
        <v>46177.836064814815</v>
      </c>
      <c r="S58" s="1">
        <v>46205.611666666664</v>
      </c>
    </row>
    <row r="59" spans="1:19" x14ac:dyDescent="0.25">
      <c r="A59">
        <v>2010101500</v>
      </c>
      <c r="B59" t="s">
        <v>28</v>
      </c>
      <c r="C59" t="s">
        <v>29</v>
      </c>
      <c r="D59" t="s">
        <v>202</v>
      </c>
      <c r="E59" t="s">
        <v>203</v>
      </c>
      <c r="F59" t="e">
        <f>--ds-btn-info-bg</f>
        <v>#NAME?</v>
      </c>
      <c r="G59" t="s">
        <v>204</v>
      </c>
      <c r="H59" t="s">
        <v>204</v>
      </c>
      <c r="I59" t="s">
        <v>32</v>
      </c>
      <c r="J59" t="s">
        <v>24</v>
      </c>
      <c r="K59" t="s">
        <v>33</v>
      </c>
      <c r="L59" t="s">
        <v>205</v>
      </c>
      <c r="M59" t="s">
        <v>26</v>
      </c>
      <c r="N59" t="s">
        <v>206</v>
      </c>
      <c r="O59">
        <v>1</v>
      </c>
      <c r="P59">
        <v>1</v>
      </c>
      <c r="Q59">
        <v>1</v>
      </c>
      <c r="R59" s="1">
        <v>46177.836064814815</v>
      </c>
      <c r="S59" s="1">
        <v>46205.611666666664</v>
      </c>
    </row>
    <row r="60" spans="1:19" x14ac:dyDescent="0.25">
      <c r="A60">
        <v>2010101501</v>
      </c>
      <c r="B60" t="s">
        <v>28</v>
      </c>
      <c r="C60" t="s">
        <v>29</v>
      </c>
      <c r="D60" t="s">
        <v>207</v>
      </c>
      <c r="E60" t="s">
        <v>208</v>
      </c>
      <c r="F60" t="e">
        <f>--ds-btn-info-text</f>
        <v>#NAME?</v>
      </c>
      <c r="G60" t="s">
        <v>117</v>
      </c>
      <c r="H60" t="s">
        <v>117</v>
      </c>
      <c r="I60" t="s">
        <v>32</v>
      </c>
      <c r="J60" t="s">
        <v>24</v>
      </c>
      <c r="K60" t="s">
        <v>33</v>
      </c>
      <c r="L60" t="s">
        <v>205</v>
      </c>
      <c r="M60" t="s">
        <v>38</v>
      </c>
      <c r="N60" t="s">
        <v>206</v>
      </c>
      <c r="O60">
        <v>1</v>
      </c>
      <c r="P60">
        <v>1</v>
      </c>
      <c r="Q60">
        <v>2</v>
      </c>
      <c r="R60" s="1">
        <v>46177.836064814815</v>
      </c>
      <c r="S60" s="1">
        <v>46205.611666666664</v>
      </c>
    </row>
    <row r="61" spans="1:19" x14ac:dyDescent="0.25">
      <c r="A61">
        <v>2010101502</v>
      </c>
      <c r="B61" t="s">
        <v>28</v>
      </c>
      <c r="C61" t="s">
        <v>29</v>
      </c>
      <c r="D61" t="s">
        <v>209</v>
      </c>
      <c r="E61" t="s">
        <v>210</v>
      </c>
      <c r="F61" t="e">
        <f>--ds-btn-info-border</f>
        <v>#NAME?</v>
      </c>
      <c r="G61" t="s">
        <v>204</v>
      </c>
      <c r="H61" t="s">
        <v>204</v>
      </c>
      <c r="I61" t="s">
        <v>32</v>
      </c>
      <c r="J61" t="s">
        <v>24</v>
      </c>
      <c r="K61" t="s">
        <v>33</v>
      </c>
      <c r="L61" t="s">
        <v>205</v>
      </c>
      <c r="M61" t="s">
        <v>42</v>
      </c>
      <c r="N61" t="s">
        <v>206</v>
      </c>
      <c r="O61">
        <v>1</v>
      </c>
      <c r="P61">
        <v>1</v>
      </c>
      <c r="Q61">
        <v>3</v>
      </c>
      <c r="R61" s="1">
        <v>46177.836064814815</v>
      </c>
      <c r="S61" s="1">
        <v>46205.611666666664</v>
      </c>
    </row>
    <row r="62" spans="1:19" x14ac:dyDescent="0.25">
      <c r="A62">
        <v>2010101503</v>
      </c>
      <c r="B62" t="s">
        <v>28</v>
      </c>
      <c r="C62" t="s">
        <v>29</v>
      </c>
      <c r="D62" t="s">
        <v>211</v>
      </c>
      <c r="E62" t="s">
        <v>212</v>
      </c>
      <c r="F62" t="e">
        <f>--ds-btn-info-bg-hover</f>
        <v>#NAME?</v>
      </c>
      <c r="G62" t="s">
        <v>213</v>
      </c>
      <c r="H62" t="s">
        <v>213</v>
      </c>
      <c r="I62" t="s">
        <v>32</v>
      </c>
      <c r="J62" t="s">
        <v>24</v>
      </c>
      <c r="K62" t="s">
        <v>33</v>
      </c>
      <c r="L62" t="s">
        <v>205</v>
      </c>
      <c r="M62" t="s">
        <v>124</v>
      </c>
      <c r="N62" t="s">
        <v>206</v>
      </c>
      <c r="O62">
        <v>1</v>
      </c>
      <c r="P62">
        <v>1</v>
      </c>
      <c r="Q62">
        <v>4</v>
      </c>
      <c r="R62" s="1">
        <v>46177.836064814815</v>
      </c>
      <c r="S62" s="1">
        <v>46205.611666666664</v>
      </c>
    </row>
    <row r="63" spans="1:19" x14ac:dyDescent="0.25">
      <c r="A63">
        <v>2010101504</v>
      </c>
      <c r="B63" t="s">
        <v>28</v>
      </c>
      <c r="C63" t="s">
        <v>29</v>
      </c>
      <c r="D63" t="s">
        <v>214</v>
      </c>
      <c r="E63" t="s">
        <v>215</v>
      </c>
      <c r="F63" t="e">
        <f>--ds-btn-info-text-hover</f>
        <v>#NAME?</v>
      </c>
      <c r="G63" t="s">
        <v>37</v>
      </c>
      <c r="H63" t="s">
        <v>37</v>
      </c>
      <c r="I63" t="s">
        <v>32</v>
      </c>
      <c r="J63" t="s">
        <v>24</v>
      </c>
      <c r="K63" t="s">
        <v>33</v>
      </c>
      <c r="L63" t="s">
        <v>205</v>
      </c>
      <c r="M63" t="s">
        <v>124</v>
      </c>
      <c r="N63" t="s">
        <v>206</v>
      </c>
      <c r="O63">
        <v>1</v>
      </c>
      <c r="P63">
        <v>1</v>
      </c>
      <c r="Q63">
        <v>5</v>
      </c>
      <c r="R63" s="1">
        <v>46177.836064814815</v>
      </c>
      <c r="S63" s="1">
        <v>46205.611666666664</v>
      </c>
    </row>
    <row r="64" spans="1:19" x14ac:dyDescent="0.25">
      <c r="A64">
        <v>2010101505</v>
      </c>
      <c r="B64" t="s">
        <v>28</v>
      </c>
      <c r="C64" t="s">
        <v>29</v>
      </c>
      <c r="D64" t="s">
        <v>216</v>
      </c>
      <c r="E64" t="s">
        <v>217</v>
      </c>
      <c r="F64" t="e">
        <f>--ds-btn-info-border-hover</f>
        <v>#NAME?</v>
      </c>
      <c r="G64" t="s">
        <v>45</v>
      </c>
      <c r="H64" t="s">
        <v>45</v>
      </c>
      <c r="I64" t="s">
        <v>32</v>
      </c>
      <c r="J64" t="s">
        <v>24</v>
      </c>
      <c r="K64" t="s">
        <v>33</v>
      </c>
      <c r="L64" t="s">
        <v>205</v>
      </c>
      <c r="M64" t="s">
        <v>124</v>
      </c>
      <c r="N64" t="s">
        <v>206</v>
      </c>
      <c r="O64">
        <v>1</v>
      </c>
      <c r="P64">
        <v>1</v>
      </c>
      <c r="Q64">
        <v>6</v>
      </c>
      <c r="R64" s="1">
        <v>46177.836064814815</v>
      </c>
      <c r="S64" s="1">
        <v>46205.611666666664</v>
      </c>
    </row>
    <row r="65" spans="1:19" x14ac:dyDescent="0.25">
      <c r="A65">
        <v>2010101506</v>
      </c>
      <c r="B65" t="s">
        <v>28</v>
      </c>
      <c r="C65" t="s">
        <v>29</v>
      </c>
      <c r="D65" t="s">
        <v>218</v>
      </c>
      <c r="E65" t="s">
        <v>219</v>
      </c>
      <c r="F65" t="e">
        <f>--ds-btn-info-bg-disabled</f>
        <v>#NAME?</v>
      </c>
      <c r="G65" t="s">
        <v>23</v>
      </c>
      <c r="H65" t="s">
        <v>23</v>
      </c>
      <c r="I65" t="s">
        <v>32</v>
      </c>
      <c r="J65" t="s">
        <v>24</v>
      </c>
      <c r="K65" t="s">
        <v>33</v>
      </c>
      <c r="L65" t="s">
        <v>205</v>
      </c>
      <c r="M65" t="s">
        <v>131</v>
      </c>
      <c r="N65" t="s">
        <v>206</v>
      </c>
      <c r="O65">
        <v>1</v>
      </c>
      <c r="P65">
        <v>1</v>
      </c>
      <c r="Q65">
        <v>7</v>
      </c>
      <c r="R65" s="1">
        <v>46177.836064814815</v>
      </c>
      <c r="S65" s="1">
        <v>46205.611666666664</v>
      </c>
    </row>
    <row r="66" spans="1:19" x14ac:dyDescent="0.25">
      <c r="A66">
        <v>2010101507</v>
      </c>
      <c r="B66" t="s">
        <v>28</v>
      </c>
      <c r="C66" t="s">
        <v>29</v>
      </c>
      <c r="D66" t="s">
        <v>220</v>
      </c>
      <c r="E66" t="s">
        <v>221</v>
      </c>
      <c r="F66" t="e">
        <f>--ds-btn-info-text-disabled</f>
        <v>#NAME?</v>
      </c>
      <c r="G66" t="s">
        <v>37</v>
      </c>
      <c r="H66" t="s">
        <v>37</v>
      </c>
      <c r="I66" t="s">
        <v>32</v>
      </c>
      <c r="J66" t="s">
        <v>24</v>
      </c>
      <c r="K66" t="s">
        <v>33</v>
      </c>
      <c r="L66" t="s">
        <v>205</v>
      </c>
      <c r="M66" t="s">
        <v>131</v>
      </c>
      <c r="N66" t="s">
        <v>206</v>
      </c>
      <c r="O66">
        <v>1</v>
      </c>
      <c r="P66">
        <v>1</v>
      </c>
      <c r="Q66">
        <v>8</v>
      </c>
      <c r="R66" s="1">
        <v>46177.836064814815</v>
      </c>
      <c r="S66" s="1">
        <v>46205.611666666664</v>
      </c>
    </row>
    <row r="67" spans="1:19" x14ac:dyDescent="0.25">
      <c r="A67">
        <v>2010101508</v>
      </c>
      <c r="B67" t="s">
        <v>28</v>
      </c>
      <c r="C67" t="s">
        <v>29</v>
      </c>
      <c r="D67" t="s">
        <v>222</v>
      </c>
      <c r="E67" t="s">
        <v>223</v>
      </c>
      <c r="F67" t="e">
        <f>--ds-btn-info-border-disabled</f>
        <v>#NAME?</v>
      </c>
      <c r="G67" t="s">
        <v>23</v>
      </c>
      <c r="H67" t="s">
        <v>23</v>
      </c>
      <c r="I67" t="s">
        <v>32</v>
      </c>
      <c r="J67" t="s">
        <v>24</v>
      </c>
      <c r="K67" t="s">
        <v>33</v>
      </c>
      <c r="L67" t="s">
        <v>205</v>
      </c>
      <c r="M67" t="s">
        <v>131</v>
      </c>
      <c r="N67" t="s">
        <v>206</v>
      </c>
      <c r="O67">
        <v>1</v>
      </c>
      <c r="P67">
        <v>1</v>
      </c>
      <c r="Q67">
        <v>9</v>
      </c>
      <c r="R67" s="1">
        <v>46177.836064814815</v>
      </c>
      <c r="S67" s="1">
        <v>46205.611666666664</v>
      </c>
    </row>
    <row r="68" spans="1:19" x14ac:dyDescent="0.25">
      <c r="A68">
        <v>2010101600</v>
      </c>
      <c r="B68" t="s">
        <v>28</v>
      </c>
      <c r="C68" t="s">
        <v>29</v>
      </c>
      <c r="D68" t="s">
        <v>224</v>
      </c>
      <c r="E68" t="s">
        <v>225</v>
      </c>
      <c r="F68" t="e">
        <f>--ds-btn-light-bg</f>
        <v>#NAME?</v>
      </c>
      <c r="G68" t="s">
        <v>123</v>
      </c>
      <c r="H68" t="s">
        <v>123</v>
      </c>
      <c r="I68" t="s">
        <v>32</v>
      </c>
      <c r="J68" t="s">
        <v>24</v>
      </c>
      <c r="K68" t="s">
        <v>33</v>
      </c>
      <c r="L68" t="s">
        <v>226</v>
      </c>
      <c r="M68" t="s">
        <v>26</v>
      </c>
      <c r="N68" t="s">
        <v>227</v>
      </c>
      <c r="O68">
        <v>1</v>
      </c>
      <c r="P68">
        <v>1</v>
      </c>
      <c r="Q68">
        <v>1</v>
      </c>
      <c r="R68" s="1">
        <v>46177.836064814815</v>
      </c>
      <c r="S68" s="1">
        <v>46205.611666666664</v>
      </c>
    </row>
    <row r="69" spans="1:19" x14ac:dyDescent="0.25">
      <c r="A69">
        <v>2010101601</v>
      </c>
      <c r="B69" t="s">
        <v>28</v>
      </c>
      <c r="C69" t="s">
        <v>29</v>
      </c>
      <c r="D69" t="s">
        <v>228</v>
      </c>
      <c r="E69" t="s">
        <v>229</v>
      </c>
      <c r="F69" t="e">
        <f>--ds-btn-light-text</f>
        <v>#NAME?</v>
      </c>
      <c r="G69" t="s">
        <v>117</v>
      </c>
      <c r="H69" t="s">
        <v>117</v>
      </c>
      <c r="I69" t="s">
        <v>32</v>
      </c>
      <c r="J69" t="s">
        <v>24</v>
      </c>
      <c r="K69" t="s">
        <v>33</v>
      </c>
      <c r="L69" t="s">
        <v>226</v>
      </c>
      <c r="M69" t="s">
        <v>38</v>
      </c>
      <c r="N69" t="s">
        <v>227</v>
      </c>
      <c r="O69">
        <v>1</v>
      </c>
      <c r="P69">
        <v>1</v>
      </c>
      <c r="Q69">
        <v>2</v>
      </c>
      <c r="R69" s="1">
        <v>46177.836064814815</v>
      </c>
      <c r="S69" s="1">
        <v>46205.611666666664</v>
      </c>
    </row>
    <row r="70" spans="1:19" x14ac:dyDescent="0.25">
      <c r="A70">
        <v>2010101602</v>
      </c>
      <c r="B70" t="s">
        <v>28</v>
      </c>
      <c r="C70" t="s">
        <v>29</v>
      </c>
      <c r="D70" t="s">
        <v>230</v>
      </c>
      <c r="E70" t="s">
        <v>231</v>
      </c>
      <c r="F70" t="e">
        <f>--ds-btn-light-border</f>
        <v>#NAME?</v>
      </c>
      <c r="G70" t="s">
        <v>123</v>
      </c>
      <c r="H70" t="s">
        <v>123</v>
      </c>
      <c r="I70" t="s">
        <v>32</v>
      </c>
      <c r="J70" t="s">
        <v>24</v>
      </c>
      <c r="K70" t="s">
        <v>33</v>
      </c>
      <c r="L70" t="s">
        <v>226</v>
      </c>
      <c r="M70" t="s">
        <v>42</v>
      </c>
      <c r="N70" t="s">
        <v>227</v>
      </c>
      <c r="O70">
        <v>1</v>
      </c>
      <c r="P70">
        <v>1</v>
      </c>
      <c r="Q70">
        <v>3</v>
      </c>
      <c r="R70" s="1">
        <v>46177.836064814815</v>
      </c>
      <c r="S70" s="1">
        <v>46205.611666666664</v>
      </c>
    </row>
    <row r="71" spans="1:19" x14ac:dyDescent="0.25">
      <c r="A71">
        <v>2010101603</v>
      </c>
      <c r="B71" t="s">
        <v>28</v>
      </c>
      <c r="C71" t="s">
        <v>29</v>
      </c>
      <c r="D71" t="s">
        <v>232</v>
      </c>
      <c r="E71" t="s">
        <v>233</v>
      </c>
      <c r="F71" t="e">
        <f>--ds-btn-light-hover-bg</f>
        <v>#NAME?</v>
      </c>
      <c r="G71" t="s">
        <v>234</v>
      </c>
      <c r="H71" t="s">
        <v>234</v>
      </c>
      <c r="I71" t="s">
        <v>32</v>
      </c>
      <c r="J71" t="s">
        <v>24</v>
      </c>
      <c r="K71" t="s">
        <v>33</v>
      </c>
      <c r="L71" t="s">
        <v>226</v>
      </c>
      <c r="M71" t="s">
        <v>124</v>
      </c>
      <c r="N71" t="s">
        <v>227</v>
      </c>
      <c r="O71">
        <v>1</v>
      </c>
      <c r="P71">
        <v>1</v>
      </c>
      <c r="Q71">
        <v>4</v>
      </c>
      <c r="R71" s="1">
        <v>46177.836064814815</v>
      </c>
      <c r="S71" s="1">
        <v>46205.611666666664</v>
      </c>
    </row>
    <row r="72" spans="1:19" x14ac:dyDescent="0.25">
      <c r="A72">
        <v>2010101604</v>
      </c>
      <c r="B72" t="s">
        <v>28</v>
      </c>
      <c r="C72" t="s">
        <v>29</v>
      </c>
      <c r="D72" t="s">
        <v>235</v>
      </c>
      <c r="E72" t="s">
        <v>236</v>
      </c>
      <c r="F72" t="e">
        <f>--ds-btn-light-hover-text</f>
        <v>#NAME?</v>
      </c>
      <c r="G72" t="s">
        <v>117</v>
      </c>
      <c r="H72" t="s">
        <v>117</v>
      </c>
      <c r="I72" t="s">
        <v>32</v>
      </c>
      <c r="J72" t="s">
        <v>24</v>
      </c>
      <c r="K72" t="s">
        <v>33</v>
      </c>
      <c r="L72" t="s">
        <v>226</v>
      </c>
      <c r="M72" t="s">
        <v>124</v>
      </c>
      <c r="N72" t="s">
        <v>227</v>
      </c>
      <c r="O72">
        <v>1</v>
      </c>
      <c r="P72">
        <v>1</v>
      </c>
      <c r="Q72">
        <v>5</v>
      </c>
      <c r="R72" s="1">
        <v>46177.836064814815</v>
      </c>
      <c r="S72" s="1">
        <v>46205.611666666664</v>
      </c>
    </row>
    <row r="73" spans="1:19" x14ac:dyDescent="0.25">
      <c r="A73">
        <v>2010101605</v>
      </c>
      <c r="B73" t="s">
        <v>28</v>
      </c>
      <c r="C73" t="s">
        <v>29</v>
      </c>
      <c r="D73" t="s">
        <v>237</v>
      </c>
      <c r="E73" t="s">
        <v>238</v>
      </c>
      <c r="F73" t="e">
        <f>--ds-btn-light-hover-border</f>
        <v>#NAME?</v>
      </c>
      <c r="G73" t="s">
        <v>239</v>
      </c>
      <c r="H73" t="s">
        <v>239</v>
      </c>
      <c r="I73" t="s">
        <v>32</v>
      </c>
      <c r="J73" t="s">
        <v>24</v>
      </c>
      <c r="K73" t="s">
        <v>33</v>
      </c>
      <c r="L73" t="s">
        <v>226</v>
      </c>
      <c r="M73" t="s">
        <v>124</v>
      </c>
      <c r="N73" t="s">
        <v>227</v>
      </c>
      <c r="O73">
        <v>1</v>
      </c>
      <c r="P73">
        <v>1</v>
      </c>
      <c r="Q73">
        <v>6</v>
      </c>
      <c r="R73" s="1">
        <v>46177.836064814815</v>
      </c>
      <c r="S73" s="1">
        <v>46205.611666666664</v>
      </c>
    </row>
    <row r="74" spans="1:19" x14ac:dyDescent="0.25">
      <c r="A74">
        <v>2010101606</v>
      </c>
      <c r="B74" t="s">
        <v>28</v>
      </c>
      <c r="C74" t="s">
        <v>29</v>
      </c>
      <c r="D74" t="s">
        <v>240</v>
      </c>
      <c r="E74" t="s">
        <v>241</v>
      </c>
      <c r="F74" t="e">
        <f>--ds-btn-light-disabled-bg</f>
        <v>#NAME?</v>
      </c>
      <c r="G74" t="s">
        <v>123</v>
      </c>
      <c r="H74" t="s">
        <v>123</v>
      </c>
      <c r="I74" t="s">
        <v>32</v>
      </c>
      <c r="J74" t="s">
        <v>24</v>
      </c>
      <c r="K74" t="s">
        <v>33</v>
      </c>
      <c r="L74" t="s">
        <v>226</v>
      </c>
      <c r="M74" t="s">
        <v>131</v>
      </c>
      <c r="N74" t="s">
        <v>227</v>
      </c>
      <c r="O74">
        <v>1</v>
      </c>
      <c r="P74">
        <v>1</v>
      </c>
      <c r="Q74">
        <v>7</v>
      </c>
      <c r="R74" s="1">
        <v>46177.836064814815</v>
      </c>
      <c r="S74" s="1">
        <v>46205.611666666664</v>
      </c>
    </row>
    <row r="75" spans="1:19" x14ac:dyDescent="0.25">
      <c r="A75">
        <v>2010101607</v>
      </c>
      <c r="B75" t="s">
        <v>28</v>
      </c>
      <c r="C75" t="s">
        <v>29</v>
      </c>
      <c r="D75" t="s">
        <v>242</v>
      </c>
      <c r="E75" t="s">
        <v>243</v>
      </c>
      <c r="F75" t="e">
        <f>--ds-btn-light-disabled-text</f>
        <v>#NAME?</v>
      </c>
      <c r="G75" t="s">
        <v>117</v>
      </c>
      <c r="H75" t="s">
        <v>117</v>
      </c>
      <c r="I75" t="s">
        <v>32</v>
      </c>
      <c r="J75" t="s">
        <v>24</v>
      </c>
      <c r="K75" t="s">
        <v>33</v>
      </c>
      <c r="L75" t="s">
        <v>226</v>
      </c>
      <c r="M75" t="s">
        <v>131</v>
      </c>
      <c r="N75" t="s">
        <v>227</v>
      </c>
      <c r="O75">
        <v>1</v>
      </c>
      <c r="P75">
        <v>1</v>
      </c>
      <c r="Q75">
        <v>8</v>
      </c>
      <c r="R75" s="1">
        <v>46177.836064814815</v>
      </c>
      <c r="S75" s="1">
        <v>46205.611666666664</v>
      </c>
    </row>
    <row r="76" spans="1:19" x14ac:dyDescent="0.25">
      <c r="A76">
        <v>2010101608</v>
      </c>
      <c r="B76" t="s">
        <v>28</v>
      </c>
      <c r="C76" t="s">
        <v>29</v>
      </c>
      <c r="D76" t="s">
        <v>244</v>
      </c>
      <c r="E76" t="s">
        <v>245</v>
      </c>
      <c r="F76" t="e">
        <f>--ds-btn-light-disabled-border</f>
        <v>#NAME?</v>
      </c>
      <c r="G76" t="s">
        <v>123</v>
      </c>
      <c r="H76" t="s">
        <v>123</v>
      </c>
      <c r="I76" t="s">
        <v>32</v>
      </c>
      <c r="J76" t="s">
        <v>24</v>
      </c>
      <c r="K76" t="s">
        <v>33</v>
      </c>
      <c r="L76" t="s">
        <v>226</v>
      </c>
      <c r="M76" t="s">
        <v>131</v>
      </c>
      <c r="N76" t="s">
        <v>227</v>
      </c>
      <c r="O76">
        <v>1</v>
      </c>
      <c r="P76">
        <v>1</v>
      </c>
      <c r="Q76">
        <v>9</v>
      </c>
      <c r="R76" s="1">
        <v>46177.836064814815</v>
      </c>
      <c r="S76" s="1">
        <v>46205.611666666664</v>
      </c>
    </row>
    <row r="77" spans="1:19" x14ac:dyDescent="0.25">
      <c r="A77">
        <v>2010101700</v>
      </c>
      <c r="B77" t="s">
        <v>28</v>
      </c>
      <c r="C77" t="s">
        <v>29</v>
      </c>
      <c r="D77" t="s">
        <v>246</v>
      </c>
      <c r="E77" t="s">
        <v>247</v>
      </c>
      <c r="F77" t="e">
        <f>--ds-btn-dark-bg</f>
        <v>#NAME?</v>
      </c>
      <c r="G77" t="s">
        <v>117</v>
      </c>
      <c r="H77" t="s">
        <v>117</v>
      </c>
      <c r="I77" t="s">
        <v>32</v>
      </c>
      <c r="J77" t="s">
        <v>24</v>
      </c>
      <c r="K77" t="s">
        <v>33</v>
      </c>
      <c r="L77" t="s">
        <v>248</v>
      </c>
      <c r="M77" t="s">
        <v>26</v>
      </c>
      <c r="N77" t="s">
        <v>249</v>
      </c>
      <c r="O77">
        <v>1</v>
      </c>
      <c r="P77">
        <v>1</v>
      </c>
      <c r="Q77">
        <v>1</v>
      </c>
      <c r="R77" s="1">
        <v>46177.836064814815</v>
      </c>
      <c r="S77" s="1">
        <v>46205.611666666664</v>
      </c>
    </row>
    <row r="78" spans="1:19" x14ac:dyDescent="0.25">
      <c r="A78">
        <v>2010101701</v>
      </c>
      <c r="B78" t="s">
        <v>28</v>
      </c>
      <c r="C78" t="s">
        <v>29</v>
      </c>
      <c r="D78" t="s">
        <v>250</v>
      </c>
      <c r="E78" t="s">
        <v>251</v>
      </c>
      <c r="F78" t="e">
        <f>--ds-btn-dark-text</f>
        <v>#NAME?</v>
      </c>
      <c r="G78" t="s">
        <v>37</v>
      </c>
      <c r="H78" t="s">
        <v>37</v>
      </c>
      <c r="I78" t="s">
        <v>32</v>
      </c>
      <c r="J78" t="s">
        <v>24</v>
      </c>
      <c r="K78" t="s">
        <v>33</v>
      </c>
      <c r="L78" t="s">
        <v>248</v>
      </c>
      <c r="M78" t="s">
        <v>38</v>
      </c>
      <c r="N78" t="s">
        <v>249</v>
      </c>
      <c r="O78">
        <v>1</v>
      </c>
      <c r="P78">
        <v>1</v>
      </c>
      <c r="Q78">
        <v>2</v>
      </c>
      <c r="R78" s="1">
        <v>46177.836064814815</v>
      </c>
      <c r="S78" s="1">
        <v>46205.611666666664</v>
      </c>
    </row>
    <row r="79" spans="1:19" x14ac:dyDescent="0.25">
      <c r="A79">
        <v>2010101702</v>
      </c>
      <c r="B79" t="s">
        <v>28</v>
      </c>
      <c r="C79" t="s">
        <v>29</v>
      </c>
      <c r="D79" t="s">
        <v>252</v>
      </c>
      <c r="E79" t="s">
        <v>253</v>
      </c>
      <c r="F79" t="e">
        <f>--ds-btn-dark-border</f>
        <v>#NAME?</v>
      </c>
      <c r="G79" t="s">
        <v>117</v>
      </c>
      <c r="H79" t="s">
        <v>117</v>
      </c>
      <c r="I79" t="s">
        <v>32</v>
      </c>
      <c r="J79" t="s">
        <v>24</v>
      </c>
      <c r="K79" t="s">
        <v>33</v>
      </c>
      <c r="L79" t="s">
        <v>248</v>
      </c>
      <c r="M79" t="s">
        <v>42</v>
      </c>
      <c r="N79" t="s">
        <v>249</v>
      </c>
      <c r="O79">
        <v>1</v>
      </c>
      <c r="P79">
        <v>1</v>
      </c>
      <c r="Q79">
        <v>3</v>
      </c>
      <c r="R79" s="1">
        <v>46177.836064814815</v>
      </c>
      <c r="S79" s="1">
        <v>46205.611666666664</v>
      </c>
    </row>
    <row r="80" spans="1:19" x14ac:dyDescent="0.25">
      <c r="A80">
        <v>2010101703</v>
      </c>
      <c r="B80" t="s">
        <v>28</v>
      </c>
      <c r="C80" t="s">
        <v>29</v>
      </c>
      <c r="D80" t="s">
        <v>254</v>
      </c>
      <c r="E80" t="s">
        <v>255</v>
      </c>
      <c r="F80" t="e">
        <f>--ds-btn-dark-hover-bg</f>
        <v>#NAME?</v>
      </c>
      <c r="G80" t="s">
        <v>256</v>
      </c>
      <c r="H80" t="s">
        <v>256</v>
      </c>
      <c r="I80" t="s">
        <v>32</v>
      </c>
      <c r="J80" t="s">
        <v>24</v>
      </c>
      <c r="K80" t="s">
        <v>33</v>
      </c>
      <c r="L80" t="s">
        <v>248</v>
      </c>
      <c r="M80" t="s">
        <v>124</v>
      </c>
      <c r="N80" t="s">
        <v>249</v>
      </c>
      <c r="O80">
        <v>1</v>
      </c>
      <c r="P80">
        <v>1</v>
      </c>
      <c r="Q80">
        <v>4</v>
      </c>
      <c r="R80" s="1">
        <v>46177.836064814815</v>
      </c>
      <c r="S80" s="1">
        <v>46205.611666666664</v>
      </c>
    </row>
    <row r="81" spans="1:19" x14ac:dyDescent="0.25">
      <c r="A81">
        <v>2010101704</v>
      </c>
      <c r="B81" t="s">
        <v>28</v>
      </c>
      <c r="C81" t="s">
        <v>29</v>
      </c>
      <c r="D81" t="s">
        <v>257</v>
      </c>
      <c r="E81" t="s">
        <v>258</v>
      </c>
      <c r="F81" t="e">
        <f>--ds-btn-dark-hover-text</f>
        <v>#NAME?</v>
      </c>
      <c r="G81" t="s">
        <v>37</v>
      </c>
      <c r="H81" t="s">
        <v>37</v>
      </c>
      <c r="I81" t="s">
        <v>32</v>
      </c>
      <c r="J81" t="s">
        <v>24</v>
      </c>
      <c r="K81" t="s">
        <v>33</v>
      </c>
      <c r="L81" t="s">
        <v>248</v>
      </c>
      <c r="M81" t="s">
        <v>124</v>
      </c>
      <c r="N81" t="s">
        <v>249</v>
      </c>
      <c r="O81">
        <v>1</v>
      </c>
      <c r="P81">
        <v>1</v>
      </c>
      <c r="Q81">
        <v>5</v>
      </c>
      <c r="R81" s="1">
        <v>46177.836064814815</v>
      </c>
      <c r="S81" s="1">
        <v>46205.611666666664</v>
      </c>
    </row>
    <row r="82" spans="1:19" x14ac:dyDescent="0.25">
      <c r="A82">
        <v>2010101705</v>
      </c>
      <c r="B82" t="s">
        <v>28</v>
      </c>
      <c r="C82" t="s">
        <v>29</v>
      </c>
      <c r="D82" t="s">
        <v>259</v>
      </c>
      <c r="E82" t="s">
        <v>260</v>
      </c>
      <c r="F82" t="e">
        <f>--ds-btn-dark-hover-border</f>
        <v>#NAME?</v>
      </c>
      <c r="G82" t="s">
        <v>261</v>
      </c>
      <c r="H82" t="s">
        <v>261</v>
      </c>
      <c r="I82" t="s">
        <v>32</v>
      </c>
      <c r="J82" t="s">
        <v>24</v>
      </c>
      <c r="K82" t="s">
        <v>33</v>
      </c>
      <c r="L82" t="s">
        <v>248</v>
      </c>
      <c r="M82" t="s">
        <v>124</v>
      </c>
      <c r="N82" t="s">
        <v>249</v>
      </c>
      <c r="O82">
        <v>1</v>
      </c>
      <c r="P82">
        <v>1</v>
      </c>
      <c r="Q82">
        <v>6</v>
      </c>
      <c r="R82" s="1">
        <v>46177.836064814815</v>
      </c>
      <c r="S82" s="1">
        <v>46205.611666666664</v>
      </c>
    </row>
    <row r="83" spans="1:19" x14ac:dyDescent="0.25">
      <c r="A83">
        <v>2010101706</v>
      </c>
      <c r="B83" t="s">
        <v>28</v>
      </c>
      <c r="C83" t="s">
        <v>29</v>
      </c>
      <c r="D83" t="s">
        <v>262</v>
      </c>
      <c r="E83" t="s">
        <v>263</v>
      </c>
      <c r="F83" t="e">
        <f>--ds-btn-dark-disabled-bg</f>
        <v>#NAME?</v>
      </c>
      <c r="G83" t="s">
        <v>117</v>
      </c>
      <c r="H83" t="s">
        <v>117</v>
      </c>
      <c r="I83" t="s">
        <v>32</v>
      </c>
      <c r="J83" t="s">
        <v>24</v>
      </c>
      <c r="K83" t="s">
        <v>33</v>
      </c>
      <c r="L83" t="s">
        <v>248</v>
      </c>
      <c r="M83" t="s">
        <v>131</v>
      </c>
      <c r="N83" t="s">
        <v>249</v>
      </c>
      <c r="O83">
        <v>1</v>
      </c>
      <c r="P83">
        <v>1</v>
      </c>
      <c r="Q83">
        <v>7</v>
      </c>
      <c r="R83" s="1">
        <v>46177.836064814815</v>
      </c>
      <c r="S83" s="1">
        <v>46205.611666666664</v>
      </c>
    </row>
    <row r="84" spans="1:19" x14ac:dyDescent="0.25">
      <c r="A84">
        <v>2010101707</v>
      </c>
      <c r="B84" t="s">
        <v>28</v>
      </c>
      <c r="C84" t="s">
        <v>29</v>
      </c>
      <c r="D84" t="s">
        <v>264</v>
      </c>
      <c r="E84" t="s">
        <v>265</v>
      </c>
      <c r="F84" t="e">
        <f>--ds-btn-dark-disabled-text</f>
        <v>#NAME?</v>
      </c>
      <c r="G84" t="s">
        <v>37</v>
      </c>
      <c r="H84" t="s">
        <v>37</v>
      </c>
      <c r="I84" t="s">
        <v>32</v>
      </c>
      <c r="J84" t="s">
        <v>24</v>
      </c>
      <c r="K84" t="s">
        <v>33</v>
      </c>
      <c r="L84" t="s">
        <v>248</v>
      </c>
      <c r="M84" t="s">
        <v>131</v>
      </c>
      <c r="N84" t="s">
        <v>249</v>
      </c>
      <c r="O84">
        <v>1</v>
      </c>
      <c r="P84">
        <v>1</v>
      </c>
      <c r="Q84">
        <v>8</v>
      </c>
      <c r="R84" s="1">
        <v>46177.836064814815</v>
      </c>
      <c r="S84" s="1">
        <v>46205.611666666664</v>
      </c>
    </row>
    <row r="85" spans="1:19" x14ac:dyDescent="0.25">
      <c r="A85">
        <v>2010101708</v>
      </c>
      <c r="B85" t="s">
        <v>28</v>
      </c>
      <c r="C85" t="s">
        <v>29</v>
      </c>
      <c r="D85" t="s">
        <v>266</v>
      </c>
      <c r="E85" t="s">
        <v>267</v>
      </c>
      <c r="F85" t="e">
        <f>--ds-btn-dark-disabled-border</f>
        <v>#NAME?</v>
      </c>
      <c r="G85" t="s">
        <v>117</v>
      </c>
      <c r="H85" t="s">
        <v>117</v>
      </c>
      <c r="I85" t="s">
        <v>32</v>
      </c>
      <c r="J85" t="s">
        <v>24</v>
      </c>
      <c r="K85" t="s">
        <v>33</v>
      </c>
      <c r="L85" t="s">
        <v>248</v>
      </c>
      <c r="M85" t="s">
        <v>131</v>
      </c>
      <c r="N85" t="s">
        <v>249</v>
      </c>
      <c r="O85">
        <v>1</v>
      </c>
      <c r="P85">
        <v>1</v>
      </c>
      <c r="Q85">
        <v>9</v>
      </c>
      <c r="R85" s="1">
        <v>46177.836064814815</v>
      </c>
      <c r="S85" s="1">
        <v>46205.611666666664</v>
      </c>
    </row>
    <row r="86" spans="1:19" x14ac:dyDescent="0.25">
      <c r="A86">
        <v>2010101709</v>
      </c>
      <c r="B86" t="s">
        <v>28</v>
      </c>
      <c r="C86" t="s">
        <v>29</v>
      </c>
      <c r="D86" t="s">
        <v>268</v>
      </c>
      <c r="E86" t="s">
        <v>269</v>
      </c>
      <c r="F86" t="e">
        <f>--ds-btn-outline-dark-text</f>
        <v>#NAME?</v>
      </c>
      <c r="G86" t="s">
        <v>117</v>
      </c>
      <c r="H86" t="s">
        <v>117</v>
      </c>
      <c r="I86" t="s">
        <v>32</v>
      </c>
      <c r="J86" t="s">
        <v>24</v>
      </c>
      <c r="K86" t="s">
        <v>33</v>
      </c>
      <c r="L86" t="s">
        <v>248</v>
      </c>
      <c r="M86" t="s">
        <v>38</v>
      </c>
      <c r="N86" t="s">
        <v>249</v>
      </c>
      <c r="O86">
        <v>1</v>
      </c>
      <c r="P86">
        <v>1</v>
      </c>
      <c r="Q86">
        <v>10</v>
      </c>
      <c r="R86" s="1">
        <v>46177.836064814815</v>
      </c>
      <c r="S86" s="1">
        <v>46205.611666666664</v>
      </c>
    </row>
    <row r="87" spans="1:19" x14ac:dyDescent="0.25">
      <c r="A87">
        <v>2010101710</v>
      </c>
      <c r="B87" t="s">
        <v>28</v>
      </c>
      <c r="C87" t="s">
        <v>29</v>
      </c>
      <c r="D87" t="s">
        <v>270</v>
      </c>
      <c r="E87" t="s">
        <v>271</v>
      </c>
      <c r="F87" t="e">
        <f>--ds-btn-outline-dark-border</f>
        <v>#NAME?</v>
      </c>
      <c r="G87" t="s">
        <v>117</v>
      </c>
      <c r="H87" t="s">
        <v>117</v>
      </c>
      <c r="I87" t="s">
        <v>32</v>
      </c>
      <c r="J87" t="s">
        <v>24</v>
      </c>
      <c r="K87" t="s">
        <v>33</v>
      </c>
      <c r="L87" t="s">
        <v>248</v>
      </c>
      <c r="M87" t="s">
        <v>42</v>
      </c>
      <c r="N87" t="s">
        <v>249</v>
      </c>
      <c r="O87">
        <v>1</v>
      </c>
      <c r="P87">
        <v>1</v>
      </c>
      <c r="Q87">
        <v>11</v>
      </c>
      <c r="R87" s="1">
        <v>46177.836064814815</v>
      </c>
      <c r="S87" s="1">
        <v>46205.611666666664</v>
      </c>
    </row>
    <row r="88" spans="1:19" x14ac:dyDescent="0.25">
      <c r="A88">
        <v>2010101711</v>
      </c>
      <c r="B88" t="s">
        <v>28</v>
      </c>
      <c r="C88" t="s">
        <v>29</v>
      </c>
      <c r="D88" t="s">
        <v>272</v>
      </c>
      <c r="E88" t="s">
        <v>273</v>
      </c>
      <c r="F88" t="e">
        <f>--ds-btn-outline-dark-hover-bg</f>
        <v>#NAME?</v>
      </c>
      <c r="G88" t="s">
        <v>117</v>
      </c>
      <c r="H88" t="s">
        <v>117</v>
      </c>
      <c r="I88" t="s">
        <v>32</v>
      </c>
      <c r="J88" t="s">
        <v>24</v>
      </c>
      <c r="K88" t="s">
        <v>33</v>
      </c>
      <c r="L88" t="s">
        <v>248</v>
      </c>
      <c r="M88" t="s">
        <v>124</v>
      </c>
      <c r="N88" t="s">
        <v>249</v>
      </c>
      <c r="O88">
        <v>1</v>
      </c>
      <c r="P88">
        <v>1</v>
      </c>
      <c r="Q88">
        <v>12</v>
      </c>
      <c r="R88" s="1">
        <v>46177.836064814815</v>
      </c>
      <c r="S88" s="1">
        <v>46205.611666666664</v>
      </c>
    </row>
    <row r="89" spans="1:19" x14ac:dyDescent="0.25">
      <c r="A89">
        <v>2010101712</v>
      </c>
      <c r="B89" t="s">
        <v>28</v>
      </c>
      <c r="C89" t="s">
        <v>29</v>
      </c>
      <c r="D89" t="s">
        <v>274</v>
      </c>
      <c r="E89" t="s">
        <v>275</v>
      </c>
      <c r="F89" t="e">
        <f>--ds-btn-outline-dark-hover-text</f>
        <v>#NAME?</v>
      </c>
      <c r="G89" t="s">
        <v>37</v>
      </c>
      <c r="H89" t="s">
        <v>37</v>
      </c>
      <c r="I89" t="s">
        <v>32</v>
      </c>
      <c r="J89" t="s">
        <v>24</v>
      </c>
      <c r="K89" t="s">
        <v>33</v>
      </c>
      <c r="L89" t="s">
        <v>248</v>
      </c>
      <c r="M89" t="s">
        <v>124</v>
      </c>
      <c r="N89" t="s">
        <v>249</v>
      </c>
      <c r="O89">
        <v>1</v>
      </c>
      <c r="P89">
        <v>1</v>
      </c>
      <c r="Q89">
        <v>13</v>
      </c>
      <c r="R89" s="1">
        <v>46177.836064814815</v>
      </c>
      <c r="S89" s="1">
        <v>46205.611666666664</v>
      </c>
    </row>
    <row r="90" spans="1:19" x14ac:dyDescent="0.25">
      <c r="A90">
        <v>2010101713</v>
      </c>
      <c r="B90" t="s">
        <v>28</v>
      </c>
      <c r="C90" t="s">
        <v>29</v>
      </c>
      <c r="D90" t="s">
        <v>276</v>
      </c>
      <c r="E90" t="s">
        <v>277</v>
      </c>
      <c r="F90" t="e">
        <f>--ds-btn-outline-dark-hover-border</f>
        <v>#NAME?</v>
      </c>
      <c r="G90" t="s">
        <v>117</v>
      </c>
      <c r="H90" t="s">
        <v>117</v>
      </c>
      <c r="I90" t="s">
        <v>32</v>
      </c>
      <c r="J90" t="s">
        <v>24</v>
      </c>
      <c r="K90" t="s">
        <v>33</v>
      </c>
      <c r="L90" t="s">
        <v>248</v>
      </c>
      <c r="M90" t="s">
        <v>124</v>
      </c>
      <c r="N90" t="s">
        <v>249</v>
      </c>
      <c r="O90">
        <v>1</v>
      </c>
      <c r="P90">
        <v>1</v>
      </c>
      <c r="Q90">
        <v>14</v>
      </c>
      <c r="R90" s="1">
        <v>46177.836064814815</v>
      </c>
      <c r="S90" s="1">
        <v>46205.611666666664</v>
      </c>
    </row>
    <row r="91" spans="1:19" x14ac:dyDescent="0.25">
      <c r="A91">
        <v>2010101714</v>
      </c>
      <c r="B91" t="s">
        <v>28</v>
      </c>
      <c r="C91" t="s">
        <v>29</v>
      </c>
      <c r="D91" t="s">
        <v>278</v>
      </c>
      <c r="E91" t="s">
        <v>279</v>
      </c>
      <c r="F91" t="e">
        <f>--ds-btn-outline-dark-disabled-text</f>
        <v>#NAME?</v>
      </c>
      <c r="G91" t="s">
        <v>117</v>
      </c>
      <c r="H91" t="s">
        <v>117</v>
      </c>
      <c r="I91" t="s">
        <v>32</v>
      </c>
      <c r="J91" t="s">
        <v>24</v>
      </c>
      <c r="K91" t="s">
        <v>33</v>
      </c>
      <c r="L91" t="s">
        <v>248</v>
      </c>
      <c r="M91" t="s">
        <v>131</v>
      </c>
      <c r="N91" t="s">
        <v>249</v>
      </c>
      <c r="O91">
        <v>1</v>
      </c>
      <c r="P91">
        <v>1</v>
      </c>
      <c r="Q91">
        <v>15</v>
      </c>
      <c r="R91" s="1">
        <v>46177.836064814815</v>
      </c>
      <c r="S91" s="1">
        <v>46205.611666666664</v>
      </c>
    </row>
    <row r="92" spans="1:19" x14ac:dyDescent="0.25">
      <c r="A92">
        <v>2010102000</v>
      </c>
      <c r="B92" t="s">
        <v>28</v>
      </c>
      <c r="C92" t="s">
        <v>29</v>
      </c>
      <c r="D92" t="s">
        <v>280</v>
      </c>
      <c r="E92" t="s">
        <v>281</v>
      </c>
      <c r="F92" t="e">
        <f>--ds-btn-outline-primary-bg</f>
        <v>#NAME?</v>
      </c>
      <c r="G92" t="s">
        <v>112</v>
      </c>
      <c r="H92" t="s">
        <v>112</v>
      </c>
      <c r="I92" t="s">
        <v>32</v>
      </c>
      <c r="J92" t="s">
        <v>24</v>
      </c>
      <c r="K92" t="s">
        <v>95</v>
      </c>
      <c r="L92" t="s">
        <v>25</v>
      </c>
      <c r="M92" t="s">
        <v>26</v>
      </c>
      <c r="N92" t="s">
        <v>282</v>
      </c>
      <c r="O92">
        <v>1</v>
      </c>
      <c r="P92">
        <v>1</v>
      </c>
      <c r="Q92">
        <v>0</v>
      </c>
      <c r="R92" s="1">
        <v>46177.858900462961</v>
      </c>
      <c r="S92" s="1">
        <v>46205.611666666664</v>
      </c>
    </row>
    <row r="93" spans="1:19" x14ac:dyDescent="0.25">
      <c r="A93">
        <v>2010102001</v>
      </c>
      <c r="B93" t="s">
        <v>28</v>
      </c>
      <c r="C93" t="s">
        <v>29</v>
      </c>
      <c r="D93" t="s">
        <v>283</v>
      </c>
      <c r="E93" t="s">
        <v>284</v>
      </c>
      <c r="F93" t="e">
        <f>--ds-btn-outline-primary-text</f>
        <v>#NAME?</v>
      </c>
      <c r="G93" t="s">
        <v>23</v>
      </c>
      <c r="H93" t="s">
        <v>23</v>
      </c>
      <c r="I93" t="s">
        <v>32</v>
      </c>
      <c r="J93" t="s">
        <v>24</v>
      </c>
      <c r="K93" t="s">
        <v>95</v>
      </c>
      <c r="L93" t="s">
        <v>25</v>
      </c>
      <c r="M93" t="s">
        <v>38</v>
      </c>
      <c r="N93" t="s">
        <v>282</v>
      </c>
      <c r="O93">
        <v>1</v>
      </c>
      <c r="P93">
        <v>1</v>
      </c>
      <c r="Q93">
        <v>0</v>
      </c>
      <c r="R93" s="1">
        <v>46177.858900462961</v>
      </c>
      <c r="S93" s="1">
        <v>46205.611666666664</v>
      </c>
    </row>
    <row r="94" spans="1:19" x14ac:dyDescent="0.25">
      <c r="A94">
        <v>2010102002</v>
      </c>
      <c r="B94" t="s">
        <v>28</v>
      </c>
      <c r="C94" t="s">
        <v>29</v>
      </c>
      <c r="D94" t="s">
        <v>285</v>
      </c>
      <c r="E94" t="s">
        <v>286</v>
      </c>
      <c r="F94" t="e">
        <f>--ds-btn-outline-primary-border</f>
        <v>#NAME?</v>
      </c>
      <c r="G94" t="s">
        <v>23</v>
      </c>
      <c r="H94" t="s">
        <v>23</v>
      </c>
      <c r="I94" t="s">
        <v>32</v>
      </c>
      <c r="J94" t="s">
        <v>24</v>
      </c>
      <c r="K94" t="s">
        <v>95</v>
      </c>
      <c r="L94" t="s">
        <v>25</v>
      </c>
      <c r="M94" t="s">
        <v>42</v>
      </c>
      <c r="N94" t="s">
        <v>282</v>
      </c>
      <c r="O94">
        <v>1</v>
      </c>
      <c r="P94">
        <v>1</v>
      </c>
      <c r="Q94">
        <v>0</v>
      </c>
      <c r="R94" s="1">
        <v>46177.858900462961</v>
      </c>
      <c r="S94" s="1">
        <v>46205.611666666664</v>
      </c>
    </row>
    <row r="95" spans="1:19" x14ac:dyDescent="0.25">
      <c r="A95">
        <v>2010102003</v>
      </c>
      <c r="B95" t="s">
        <v>28</v>
      </c>
      <c r="C95" t="s">
        <v>29</v>
      </c>
      <c r="D95" t="s">
        <v>287</v>
      </c>
      <c r="E95" t="s">
        <v>288</v>
      </c>
      <c r="F95" t="e">
        <f>--ds-btn-outline-primary-hover-bg</f>
        <v>#NAME?</v>
      </c>
      <c r="G95" t="s">
        <v>23</v>
      </c>
      <c r="H95" t="s">
        <v>23</v>
      </c>
      <c r="I95" t="s">
        <v>32</v>
      </c>
      <c r="J95" t="s">
        <v>24</v>
      </c>
      <c r="K95" t="s">
        <v>95</v>
      </c>
      <c r="L95" t="s">
        <v>25</v>
      </c>
      <c r="M95" t="s">
        <v>46</v>
      </c>
      <c r="N95" t="s">
        <v>282</v>
      </c>
      <c r="O95">
        <v>1</v>
      </c>
      <c r="P95">
        <v>1</v>
      </c>
      <c r="Q95">
        <v>0</v>
      </c>
      <c r="R95" s="1">
        <v>46177.858900462961</v>
      </c>
      <c r="S95" s="1">
        <v>46205.611666666664</v>
      </c>
    </row>
    <row r="96" spans="1:19" x14ac:dyDescent="0.25">
      <c r="A96">
        <v>2010102004</v>
      </c>
      <c r="B96" t="s">
        <v>28</v>
      </c>
      <c r="C96" t="s">
        <v>29</v>
      </c>
      <c r="D96" t="s">
        <v>289</v>
      </c>
      <c r="E96" t="s">
        <v>290</v>
      </c>
      <c r="F96" t="e">
        <f>--ds-btn-outline-primary-hover-text</f>
        <v>#NAME?</v>
      </c>
      <c r="G96" t="s">
        <v>37</v>
      </c>
      <c r="H96" t="s">
        <v>37</v>
      </c>
      <c r="I96" t="s">
        <v>32</v>
      </c>
      <c r="J96" t="s">
        <v>24</v>
      </c>
      <c r="K96" t="s">
        <v>95</v>
      </c>
      <c r="L96" t="s">
        <v>25</v>
      </c>
      <c r="M96" t="s">
        <v>49</v>
      </c>
      <c r="N96" t="s">
        <v>282</v>
      </c>
      <c r="O96">
        <v>1</v>
      </c>
      <c r="P96">
        <v>1</v>
      </c>
      <c r="Q96">
        <v>0</v>
      </c>
      <c r="R96" s="1">
        <v>46177.858900462961</v>
      </c>
      <c r="S96" s="1">
        <v>46205.611666666664</v>
      </c>
    </row>
    <row r="97" spans="1:19" x14ac:dyDescent="0.25">
      <c r="A97">
        <v>2010102005</v>
      </c>
      <c r="B97" t="s">
        <v>28</v>
      </c>
      <c r="C97" t="s">
        <v>29</v>
      </c>
      <c r="D97" t="s">
        <v>291</v>
      </c>
      <c r="E97" t="s">
        <v>292</v>
      </c>
      <c r="F97" t="e">
        <f>--ds-btn-outline-primary-hover-border</f>
        <v>#NAME?</v>
      </c>
      <c r="G97" t="s">
        <v>23</v>
      </c>
      <c r="H97" t="s">
        <v>23</v>
      </c>
      <c r="I97" t="s">
        <v>32</v>
      </c>
      <c r="J97" t="s">
        <v>24</v>
      </c>
      <c r="K97" t="s">
        <v>95</v>
      </c>
      <c r="L97" t="s">
        <v>25</v>
      </c>
      <c r="M97" t="s">
        <v>53</v>
      </c>
      <c r="N97" t="s">
        <v>282</v>
      </c>
      <c r="O97">
        <v>1</v>
      </c>
      <c r="P97">
        <v>1</v>
      </c>
      <c r="Q97">
        <v>0</v>
      </c>
      <c r="R97" s="1">
        <v>46177.858900462961</v>
      </c>
      <c r="S97" s="1">
        <v>46205.611666666664</v>
      </c>
    </row>
    <row r="98" spans="1:19" x14ac:dyDescent="0.25">
      <c r="A98">
        <v>2010102006</v>
      </c>
      <c r="B98" t="s">
        <v>28</v>
      </c>
      <c r="C98" t="s">
        <v>29</v>
      </c>
      <c r="D98" t="s">
        <v>293</v>
      </c>
      <c r="E98" t="s">
        <v>294</v>
      </c>
      <c r="F98" t="e">
        <f>--ds-btn-outline-primary-disabled-bg</f>
        <v>#NAME?</v>
      </c>
      <c r="G98" t="s">
        <v>112</v>
      </c>
      <c r="H98" t="s">
        <v>112</v>
      </c>
      <c r="I98" t="s">
        <v>32</v>
      </c>
      <c r="J98" t="s">
        <v>24</v>
      </c>
      <c r="K98" t="s">
        <v>95</v>
      </c>
      <c r="L98" t="s">
        <v>25</v>
      </c>
      <c r="M98" t="s">
        <v>57</v>
      </c>
      <c r="N98" t="s">
        <v>282</v>
      </c>
      <c r="O98">
        <v>1</v>
      </c>
      <c r="P98">
        <v>1</v>
      </c>
      <c r="Q98">
        <v>0</v>
      </c>
      <c r="R98" s="1">
        <v>46177.858900462961</v>
      </c>
      <c r="S98" s="1">
        <v>46205.611666666664</v>
      </c>
    </row>
    <row r="99" spans="1:19" x14ac:dyDescent="0.25">
      <c r="A99">
        <v>2010102007</v>
      </c>
      <c r="B99" t="s">
        <v>28</v>
      </c>
      <c r="C99" t="s">
        <v>29</v>
      </c>
      <c r="D99" t="s">
        <v>295</v>
      </c>
      <c r="E99" t="s">
        <v>296</v>
      </c>
      <c r="F99" t="e">
        <f>--ds-btn-outline-primary-disabled-text</f>
        <v>#NAME?</v>
      </c>
      <c r="G99" t="s">
        <v>23</v>
      </c>
      <c r="H99" t="s">
        <v>23</v>
      </c>
      <c r="I99" t="s">
        <v>32</v>
      </c>
      <c r="J99" t="s">
        <v>24</v>
      </c>
      <c r="K99" t="s">
        <v>95</v>
      </c>
      <c r="L99" t="s">
        <v>25</v>
      </c>
      <c r="M99" t="s">
        <v>61</v>
      </c>
      <c r="N99" t="s">
        <v>282</v>
      </c>
      <c r="O99">
        <v>1</v>
      </c>
      <c r="P99">
        <v>1</v>
      </c>
      <c r="Q99">
        <v>0</v>
      </c>
      <c r="R99" s="1">
        <v>46177.858900462961</v>
      </c>
      <c r="S99" s="1">
        <v>46205.611666666664</v>
      </c>
    </row>
    <row r="100" spans="1:19" x14ac:dyDescent="0.25">
      <c r="A100">
        <v>2010102008</v>
      </c>
      <c r="B100" t="s">
        <v>28</v>
      </c>
      <c r="C100" t="s">
        <v>29</v>
      </c>
      <c r="D100" t="s">
        <v>297</v>
      </c>
      <c r="E100" t="s">
        <v>298</v>
      </c>
      <c r="F100" t="e">
        <f>--ds-btn-outline-primary-disabled-border</f>
        <v>#NAME?</v>
      </c>
      <c r="G100" t="s">
        <v>23</v>
      </c>
      <c r="H100" t="s">
        <v>23</v>
      </c>
      <c r="I100" t="s">
        <v>32</v>
      </c>
      <c r="J100" t="s">
        <v>24</v>
      </c>
      <c r="K100" t="s">
        <v>95</v>
      </c>
      <c r="L100" t="s">
        <v>25</v>
      </c>
      <c r="M100" t="s">
        <v>65</v>
      </c>
      <c r="N100" t="s">
        <v>282</v>
      </c>
      <c r="O100">
        <v>1</v>
      </c>
      <c r="P100">
        <v>1</v>
      </c>
      <c r="Q100">
        <v>0</v>
      </c>
      <c r="R100" s="1">
        <v>46177.858900462961</v>
      </c>
      <c r="S100" s="1">
        <v>46205.611666666664</v>
      </c>
    </row>
    <row r="101" spans="1:19" x14ac:dyDescent="0.25">
      <c r="A101">
        <v>2010102100</v>
      </c>
      <c r="B101" t="s">
        <v>28</v>
      </c>
      <c r="C101" t="s">
        <v>29</v>
      </c>
      <c r="D101" t="s">
        <v>299</v>
      </c>
      <c r="E101" t="s">
        <v>300</v>
      </c>
      <c r="F101" t="e">
        <f>--ds-btn-outline-secondary-bg</f>
        <v>#NAME?</v>
      </c>
      <c r="G101" t="s">
        <v>112</v>
      </c>
      <c r="H101" t="s">
        <v>112</v>
      </c>
      <c r="I101" t="s">
        <v>32</v>
      </c>
      <c r="J101" t="s">
        <v>24</v>
      </c>
      <c r="K101" t="s">
        <v>95</v>
      </c>
      <c r="L101" t="s">
        <v>113</v>
      </c>
      <c r="M101" t="s">
        <v>26</v>
      </c>
      <c r="N101" t="s">
        <v>301</v>
      </c>
      <c r="O101">
        <v>1</v>
      </c>
      <c r="P101">
        <v>1</v>
      </c>
      <c r="Q101">
        <v>0</v>
      </c>
      <c r="R101" s="1">
        <v>46177.858900462961</v>
      </c>
      <c r="S101" s="1">
        <v>46205.611666666664</v>
      </c>
    </row>
    <row r="102" spans="1:19" x14ac:dyDescent="0.25">
      <c r="A102">
        <v>2010102101</v>
      </c>
      <c r="B102" t="s">
        <v>28</v>
      </c>
      <c r="C102" t="s">
        <v>29</v>
      </c>
      <c r="D102" t="s">
        <v>302</v>
      </c>
      <c r="E102" t="s">
        <v>303</v>
      </c>
      <c r="F102" t="e">
        <f>--ds-btn-outline-secondary-text</f>
        <v>#NAME?</v>
      </c>
      <c r="G102" t="s">
        <v>60</v>
      </c>
      <c r="H102" t="s">
        <v>60</v>
      </c>
      <c r="I102" t="s">
        <v>32</v>
      </c>
      <c r="J102" t="s">
        <v>24</v>
      </c>
      <c r="K102" t="s">
        <v>95</v>
      </c>
      <c r="L102" t="s">
        <v>113</v>
      </c>
      <c r="M102" t="s">
        <v>38</v>
      </c>
      <c r="N102" t="s">
        <v>301</v>
      </c>
      <c r="O102">
        <v>1</v>
      </c>
      <c r="P102">
        <v>1</v>
      </c>
      <c r="Q102">
        <v>0</v>
      </c>
      <c r="R102" s="1">
        <v>46177.858900462961</v>
      </c>
      <c r="S102" s="1">
        <v>46205.611666666664</v>
      </c>
    </row>
    <row r="103" spans="1:19" x14ac:dyDescent="0.25">
      <c r="A103">
        <v>2010102102</v>
      </c>
      <c r="B103" t="s">
        <v>28</v>
      </c>
      <c r="C103" t="s">
        <v>29</v>
      </c>
      <c r="D103" t="s">
        <v>304</v>
      </c>
      <c r="E103" t="s">
        <v>305</v>
      </c>
      <c r="F103" t="e">
        <f>--ds-btn-outline-secondary-border</f>
        <v>#NAME?</v>
      </c>
      <c r="G103" t="s">
        <v>60</v>
      </c>
      <c r="H103" t="s">
        <v>60</v>
      </c>
      <c r="I103" t="s">
        <v>32</v>
      </c>
      <c r="J103" t="s">
        <v>24</v>
      </c>
      <c r="K103" t="s">
        <v>95</v>
      </c>
      <c r="L103" t="s">
        <v>113</v>
      </c>
      <c r="M103" t="s">
        <v>42</v>
      </c>
      <c r="N103" t="s">
        <v>301</v>
      </c>
      <c r="O103">
        <v>1</v>
      </c>
      <c r="P103">
        <v>1</v>
      </c>
      <c r="Q103">
        <v>0</v>
      </c>
      <c r="R103" s="1">
        <v>46177.858900462961</v>
      </c>
      <c r="S103" s="1">
        <v>46205.611666666664</v>
      </c>
    </row>
    <row r="104" spans="1:19" x14ac:dyDescent="0.25">
      <c r="A104">
        <v>2010102103</v>
      </c>
      <c r="B104" t="s">
        <v>28</v>
      </c>
      <c r="C104" t="s">
        <v>29</v>
      </c>
      <c r="D104" t="s">
        <v>306</v>
      </c>
      <c r="E104" t="s">
        <v>307</v>
      </c>
      <c r="F104" t="e">
        <f>--ds-btn-outline-secondary-hover-bg</f>
        <v>#NAME?</v>
      </c>
      <c r="G104" t="s">
        <v>60</v>
      </c>
      <c r="H104" t="s">
        <v>60</v>
      </c>
      <c r="I104" t="s">
        <v>32</v>
      </c>
      <c r="J104" t="s">
        <v>24</v>
      </c>
      <c r="K104" t="s">
        <v>95</v>
      </c>
      <c r="L104" t="s">
        <v>113</v>
      </c>
      <c r="M104" t="s">
        <v>46</v>
      </c>
      <c r="N104" t="s">
        <v>301</v>
      </c>
      <c r="O104">
        <v>1</v>
      </c>
      <c r="P104">
        <v>1</v>
      </c>
      <c r="Q104">
        <v>0</v>
      </c>
      <c r="R104" s="1">
        <v>46177.858900462961</v>
      </c>
      <c r="S104" s="1">
        <v>46205.611666666664</v>
      </c>
    </row>
    <row r="105" spans="1:19" x14ac:dyDescent="0.25">
      <c r="A105">
        <v>2010102104</v>
      </c>
      <c r="B105" t="s">
        <v>28</v>
      </c>
      <c r="C105" t="s">
        <v>29</v>
      </c>
      <c r="D105" t="s">
        <v>308</v>
      </c>
      <c r="E105" t="s">
        <v>309</v>
      </c>
      <c r="F105" t="e">
        <f>--ds-btn-outline-secondary-hover-text</f>
        <v>#NAME?</v>
      </c>
      <c r="G105" t="s">
        <v>37</v>
      </c>
      <c r="H105" t="s">
        <v>37</v>
      </c>
      <c r="I105" t="s">
        <v>32</v>
      </c>
      <c r="J105" t="s">
        <v>24</v>
      </c>
      <c r="K105" t="s">
        <v>95</v>
      </c>
      <c r="L105" t="s">
        <v>113</v>
      </c>
      <c r="M105" t="s">
        <v>49</v>
      </c>
      <c r="N105" t="s">
        <v>301</v>
      </c>
      <c r="O105">
        <v>1</v>
      </c>
      <c r="P105">
        <v>1</v>
      </c>
      <c r="Q105">
        <v>0</v>
      </c>
      <c r="R105" s="1">
        <v>46177.858900462961</v>
      </c>
      <c r="S105" s="1">
        <v>46205.611666666664</v>
      </c>
    </row>
    <row r="106" spans="1:19" x14ac:dyDescent="0.25">
      <c r="A106">
        <v>2010102105</v>
      </c>
      <c r="B106" t="s">
        <v>28</v>
      </c>
      <c r="C106" t="s">
        <v>29</v>
      </c>
      <c r="D106" t="s">
        <v>310</v>
      </c>
      <c r="E106" t="s">
        <v>311</v>
      </c>
      <c r="F106" t="e">
        <f>--ds-btn-outline-secondary-hover-border</f>
        <v>#NAME?</v>
      </c>
      <c r="G106" t="s">
        <v>60</v>
      </c>
      <c r="H106" t="s">
        <v>60</v>
      </c>
      <c r="I106" t="s">
        <v>32</v>
      </c>
      <c r="J106" t="s">
        <v>24</v>
      </c>
      <c r="K106" t="s">
        <v>95</v>
      </c>
      <c r="L106" t="s">
        <v>113</v>
      </c>
      <c r="M106" t="s">
        <v>53</v>
      </c>
      <c r="N106" t="s">
        <v>301</v>
      </c>
      <c r="O106">
        <v>1</v>
      </c>
      <c r="P106">
        <v>1</v>
      </c>
      <c r="Q106">
        <v>0</v>
      </c>
      <c r="R106" s="1">
        <v>46177.858900462961</v>
      </c>
      <c r="S106" s="1">
        <v>46205.611666666664</v>
      </c>
    </row>
    <row r="107" spans="1:19" x14ac:dyDescent="0.25">
      <c r="A107">
        <v>2010102106</v>
      </c>
      <c r="B107" t="s">
        <v>28</v>
      </c>
      <c r="C107" t="s">
        <v>29</v>
      </c>
      <c r="D107" t="s">
        <v>312</v>
      </c>
      <c r="E107" t="s">
        <v>313</v>
      </c>
      <c r="F107" t="e">
        <f>--ds-btn-outline-secondary-disabled-bg</f>
        <v>#NAME?</v>
      </c>
      <c r="G107" t="s">
        <v>112</v>
      </c>
      <c r="H107" t="s">
        <v>112</v>
      </c>
      <c r="I107" t="s">
        <v>32</v>
      </c>
      <c r="J107" t="s">
        <v>24</v>
      </c>
      <c r="K107" t="s">
        <v>95</v>
      </c>
      <c r="L107" t="s">
        <v>113</v>
      </c>
      <c r="M107" t="s">
        <v>57</v>
      </c>
      <c r="N107" t="s">
        <v>301</v>
      </c>
      <c r="O107">
        <v>1</v>
      </c>
      <c r="P107">
        <v>1</v>
      </c>
      <c r="Q107">
        <v>0</v>
      </c>
      <c r="R107" s="1">
        <v>46177.858900462961</v>
      </c>
      <c r="S107" s="1">
        <v>46205.611666666664</v>
      </c>
    </row>
    <row r="108" spans="1:19" x14ac:dyDescent="0.25">
      <c r="A108">
        <v>2010102107</v>
      </c>
      <c r="B108" t="s">
        <v>28</v>
      </c>
      <c r="C108" t="s">
        <v>29</v>
      </c>
      <c r="D108" t="s">
        <v>314</v>
      </c>
      <c r="E108" t="s">
        <v>315</v>
      </c>
      <c r="F108" t="e">
        <f>--ds-btn-outline-secondary-disabled-text</f>
        <v>#NAME?</v>
      </c>
      <c r="G108" t="s">
        <v>60</v>
      </c>
      <c r="H108" t="s">
        <v>60</v>
      </c>
      <c r="I108" t="s">
        <v>32</v>
      </c>
      <c r="J108" t="s">
        <v>24</v>
      </c>
      <c r="K108" t="s">
        <v>95</v>
      </c>
      <c r="L108" t="s">
        <v>113</v>
      </c>
      <c r="M108" t="s">
        <v>61</v>
      </c>
      <c r="N108" t="s">
        <v>301</v>
      </c>
      <c r="O108">
        <v>1</v>
      </c>
      <c r="P108">
        <v>1</v>
      </c>
      <c r="Q108">
        <v>0</v>
      </c>
      <c r="R108" s="1">
        <v>46177.858900462961</v>
      </c>
      <c r="S108" s="1">
        <v>46205.611666666664</v>
      </c>
    </row>
    <row r="109" spans="1:19" x14ac:dyDescent="0.25">
      <c r="A109">
        <v>2010102108</v>
      </c>
      <c r="B109" t="s">
        <v>28</v>
      </c>
      <c r="C109" t="s">
        <v>29</v>
      </c>
      <c r="D109" t="s">
        <v>316</v>
      </c>
      <c r="E109" t="s">
        <v>317</v>
      </c>
      <c r="F109" t="e">
        <f>--ds-btn-outline-secondary-disabled-border</f>
        <v>#NAME?</v>
      </c>
      <c r="G109" t="s">
        <v>60</v>
      </c>
      <c r="H109" t="s">
        <v>60</v>
      </c>
      <c r="I109" t="s">
        <v>32</v>
      </c>
      <c r="J109" t="s">
        <v>24</v>
      </c>
      <c r="K109" t="s">
        <v>95</v>
      </c>
      <c r="L109" t="s">
        <v>113</v>
      </c>
      <c r="M109" t="s">
        <v>65</v>
      </c>
      <c r="N109" t="s">
        <v>301</v>
      </c>
      <c r="O109">
        <v>1</v>
      </c>
      <c r="P109">
        <v>1</v>
      </c>
      <c r="Q109">
        <v>0</v>
      </c>
      <c r="R109" s="1">
        <v>46177.858900462961</v>
      </c>
      <c r="S109" s="1">
        <v>46205.611666666664</v>
      </c>
    </row>
    <row r="110" spans="1:19" x14ac:dyDescent="0.25">
      <c r="A110">
        <v>2010102200</v>
      </c>
      <c r="B110" t="s">
        <v>28</v>
      </c>
      <c r="C110" t="s">
        <v>29</v>
      </c>
      <c r="D110" t="s">
        <v>318</v>
      </c>
      <c r="E110" t="s">
        <v>319</v>
      </c>
      <c r="F110" t="e">
        <f>--ds-btn-outline-success-bg</f>
        <v>#NAME?</v>
      </c>
      <c r="G110" t="s">
        <v>112</v>
      </c>
      <c r="H110" t="s">
        <v>112</v>
      </c>
      <c r="I110" t="s">
        <v>32</v>
      </c>
      <c r="J110" t="s">
        <v>24</v>
      </c>
      <c r="K110" t="s">
        <v>95</v>
      </c>
      <c r="L110" t="s">
        <v>139</v>
      </c>
      <c r="M110" t="s">
        <v>26</v>
      </c>
      <c r="N110" t="s">
        <v>320</v>
      </c>
      <c r="O110">
        <v>1</v>
      </c>
      <c r="P110">
        <v>1</v>
      </c>
      <c r="Q110">
        <v>0</v>
      </c>
      <c r="R110" s="1">
        <v>46177.858900462961</v>
      </c>
      <c r="S110" s="1">
        <v>46205.611666666664</v>
      </c>
    </row>
    <row r="111" spans="1:19" x14ac:dyDescent="0.25">
      <c r="A111">
        <v>2010102201</v>
      </c>
      <c r="B111" t="s">
        <v>28</v>
      </c>
      <c r="C111" t="s">
        <v>29</v>
      </c>
      <c r="D111" t="s">
        <v>321</v>
      </c>
      <c r="E111" t="s">
        <v>322</v>
      </c>
      <c r="F111" t="e">
        <f>--ds-btn-outline-success-text</f>
        <v>#NAME?</v>
      </c>
      <c r="G111" t="s">
        <v>138</v>
      </c>
      <c r="H111" t="s">
        <v>138</v>
      </c>
      <c r="I111" t="s">
        <v>32</v>
      </c>
      <c r="J111" t="s">
        <v>24</v>
      </c>
      <c r="K111" t="s">
        <v>95</v>
      </c>
      <c r="L111" t="s">
        <v>139</v>
      </c>
      <c r="M111" t="s">
        <v>38</v>
      </c>
      <c r="N111" t="s">
        <v>320</v>
      </c>
      <c r="O111">
        <v>1</v>
      </c>
      <c r="P111">
        <v>1</v>
      </c>
      <c r="Q111">
        <v>0</v>
      </c>
      <c r="R111" s="1">
        <v>46177.858900462961</v>
      </c>
      <c r="S111" s="1">
        <v>46205.611666666664</v>
      </c>
    </row>
    <row r="112" spans="1:19" x14ac:dyDescent="0.25">
      <c r="A112">
        <v>2010102202</v>
      </c>
      <c r="B112" t="s">
        <v>28</v>
      </c>
      <c r="C112" t="s">
        <v>29</v>
      </c>
      <c r="D112" t="s">
        <v>323</v>
      </c>
      <c r="E112" t="s">
        <v>324</v>
      </c>
      <c r="F112" t="e">
        <f>--ds-btn-outline-success-border</f>
        <v>#NAME?</v>
      </c>
      <c r="G112" t="s">
        <v>138</v>
      </c>
      <c r="H112" t="s">
        <v>138</v>
      </c>
      <c r="I112" t="s">
        <v>32</v>
      </c>
      <c r="J112" t="s">
        <v>24</v>
      </c>
      <c r="K112" t="s">
        <v>95</v>
      </c>
      <c r="L112" t="s">
        <v>139</v>
      </c>
      <c r="M112" t="s">
        <v>42</v>
      </c>
      <c r="N112" t="s">
        <v>320</v>
      </c>
      <c r="O112">
        <v>1</v>
      </c>
      <c r="P112">
        <v>1</v>
      </c>
      <c r="Q112">
        <v>0</v>
      </c>
      <c r="R112" s="1">
        <v>46177.858900462961</v>
      </c>
      <c r="S112" s="1">
        <v>46205.611666666664</v>
      </c>
    </row>
    <row r="113" spans="1:19" x14ac:dyDescent="0.25">
      <c r="A113">
        <v>2010102203</v>
      </c>
      <c r="B113" t="s">
        <v>28</v>
      </c>
      <c r="C113" t="s">
        <v>29</v>
      </c>
      <c r="D113" t="s">
        <v>325</v>
      </c>
      <c r="E113" t="s">
        <v>326</v>
      </c>
      <c r="F113" t="e">
        <f>--ds-btn-outline-success-hover-bg</f>
        <v>#NAME?</v>
      </c>
      <c r="G113" t="s">
        <v>138</v>
      </c>
      <c r="H113" t="s">
        <v>138</v>
      </c>
      <c r="I113" t="s">
        <v>32</v>
      </c>
      <c r="J113" t="s">
        <v>24</v>
      </c>
      <c r="K113" t="s">
        <v>95</v>
      </c>
      <c r="L113" t="s">
        <v>139</v>
      </c>
      <c r="M113" t="s">
        <v>46</v>
      </c>
      <c r="N113" t="s">
        <v>320</v>
      </c>
      <c r="O113">
        <v>1</v>
      </c>
      <c r="P113">
        <v>1</v>
      </c>
      <c r="Q113">
        <v>0</v>
      </c>
      <c r="R113" s="1">
        <v>46177.858900462961</v>
      </c>
      <c r="S113" s="1">
        <v>46205.611666666664</v>
      </c>
    </row>
    <row r="114" spans="1:19" x14ac:dyDescent="0.25">
      <c r="A114">
        <v>2010102204</v>
      </c>
      <c r="B114" t="s">
        <v>28</v>
      </c>
      <c r="C114" t="s">
        <v>29</v>
      </c>
      <c r="D114" t="s">
        <v>327</v>
      </c>
      <c r="E114" t="s">
        <v>328</v>
      </c>
      <c r="F114" t="e">
        <f>--ds-btn-outline-success-hover-text</f>
        <v>#NAME?</v>
      </c>
      <c r="G114" t="s">
        <v>37</v>
      </c>
      <c r="H114" t="s">
        <v>37</v>
      </c>
      <c r="I114" t="s">
        <v>32</v>
      </c>
      <c r="J114" t="s">
        <v>24</v>
      </c>
      <c r="K114" t="s">
        <v>95</v>
      </c>
      <c r="L114" t="s">
        <v>139</v>
      </c>
      <c r="M114" t="s">
        <v>49</v>
      </c>
      <c r="N114" t="s">
        <v>320</v>
      </c>
      <c r="O114">
        <v>1</v>
      </c>
      <c r="P114">
        <v>1</v>
      </c>
      <c r="Q114">
        <v>0</v>
      </c>
      <c r="R114" s="1">
        <v>46177.858900462961</v>
      </c>
      <c r="S114" s="1">
        <v>46205.611666666664</v>
      </c>
    </row>
    <row r="115" spans="1:19" x14ac:dyDescent="0.25">
      <c r="A115">
        <v>2010102205</v>
      </c>
      <c r="B115" t="s">
        <v>28</v>
      </c>
      <c r="C115" t="s">
        <v>29</v>
      </c>
      <c r="D115" t="s">
        <v>329</v>
      </c>
      <c r="E115" t="s">
        <v>330</v>
      </c>
      <c r="F115" t="e">
        <f>--ds-btn-outline-success-hover-border</f>
        <v>#NAME?</v>
      </c>
      <c r="G115" t="s">
        <v>138</v>
      </c>
      <c r="H115" t="s">
        <v>138</v>
      </c>
      <c r="I115" t="s">
        <v>32</v>
      </c>
      <c r="J115" t="s">
        <v>24</v>
      </c>
      <c r="K115" t="s">
        <v>95</v>
      </c>
      <c r="L115" t="s">
        <v>139</v>
      </c>
      <c r="M115" t="s">
        <v>53</v>
      </c>
      <c r="N115" t="s">
        <v>320</v>
      </c>
      <c r="O115">
        <v>1</v>
      </c>
      <c r="P115">
        <v>1</v>
      </c>
      <c r="Q115">
        <v>0</v>
      </c>
      <c r="R115" s="1">
        <v>46177.858900462961</v>
      </c>
      <c r="S115" s="1">
        <v>46205.611666666664</v>
      </c>
    </row>
    <row r="116" spans="1:19" x14ac:dyDescent="0.25">
      <c r="A116">
        <v>2010102206</v>
      </c>
      <c r="B116" t="s">
        <v>28</v>
      </c>
      <c r="C116" t="s">
        <v>29</v>
      </c>
      <c r="D116" t="s">
        <v>331</v>
      </c>
      <c r="E116" t="s">
        <v>332</v>
      </c>
      <c r="F116" t="e">
        <f>--ds-btn-outline-success-disabled-bg</f>
        <v>#NAME?</v>
      </c>
      <c r="G116" t="s">
        <v>112</v>
      </c>
      <c r="H116" t="s">
        <v>112</v>
      </c>
      <c r="I116" t="s">
        <v>32</v>
      </c>
      <c r="J116" t="s">
        <v>24</v>
      </c>
      <c r="K116" t="s">
        <v>95</v>
      </c>
      <c r="L116" t="s">
        <v>139</v>
      </c>
      <c r="M116" t="s">
        <v>57</v>
      </c>
      <c r="N116" t="s">
        <v>320</v>
      </c>
      <c r="O116">
        <v>1</v>
      </c>
      <c r="P116">
        <v>1</v>
      </c>
      <c r="Q116">
        <v>0</v>
      </c>
      <c r="R116" s="1">
        <v>46177.858900462961</v>
      </c>
      <c r="S116" s="1">
        <v>46205.611666666664</v>
      </c>
    </row>
    <row r="117" spans="1:19" x14ac:dyDescent="0.25">
      <c r="A117">
        <v>2010102207</v>
      </c>
      <c r="B117" t="s">
        <v>28</v>
      </c>
      <c r="C117" t="s">
        <v>29</v>
      </c>
      <c r="D117" t="s">
        <v>333</v>
      </c>
      <c r="E117" t="s">
        <v>334</v>
      </c>
      <c r="F117" t="e">
        <f>--ds-btn-outline-success-disabled-text</f>
        <v>#NAME?</v>
      </c>
      <c r="G117" t="s">
        <v>138</v>
      </c>
      <c r="H117" t="s">
        <v>138</v>
      </c>
      <c r="I117" t="s">
        <v>32</v>
      </c>
      <c r="J117" t="s">
        <v>24</v>
      </c>
      <c r="K117" t="s">
        <v>95</v>
      </c>
      <c r="L117" t="s">
        <v>139</v>
      </c>
      <c r="M117" t="s">
        <v>61</v>
      </c>
      <c r="N117" t="s">
        <v>320</v>
      </c>
      <c r="O117">
        <v>1</v>
      </c>
      <c r="P117">
        <v>1</v>
      </c>
      <c r="Q117">
        <v>0</v>
      </c>
      <c r="R117" s="1">
        <v>46177.858900462961</v>
      </c>
      <c r="S117" s="1">
        <v>46205.611666666664</v>
      </c>
    </row>
    <row r="118" spans="1:19" x14ac:dyDescent="0.25">
      <c r="A118">
        <v>2010102208</v>
      </c>
      <c r="B118" t="s">
        <v>28</v>
      </c>
      <c r="C118" t="s">
        <v>29</v>
      </c>
      <c r="D118" t="s">
        <v>335</v>
      </c>
      <c r="E118" t="s">
        <v>336</v>
      </c>
      <c r="F118" t="e">
        <f>--ds-btn-outline-success-disabled-border</f>
        <v>#NAME?</v>
      </c>
      <c r="G118" t="s">
        <v>138</v>
      </c>
      <c r="H118" t="s">
        <v>138</v>
      </c>
      <c r="I118" t="s">
        <v>32</v>
      </c>
      <c r="J118" t="s">
        <v>24</v>
      </c>
      <c r="K118" t="s">
        <v>95</v>
      </c>
      <c r="L118" t="s">
        <v>139</v>
      </c>
      <c r="M118" t="s">
        <v>65</v>
      </c>
      <c r="N118" t="s">
        <v>320</v>
      </c>
      <c r="O118">
        <v>1</v>
      </c>
      <c r="P118">
        <v>1</v>
      </c>
      <c r="Q118">
        <v>0</v>
      </c>
      <c r="R118" s="1">
        <v>46177.858900462961</v>
      </c>
      <c r="S118" s="1">
        <v>46205.611666666664</v>
      </c>
    </row>
    <row r="119" spans="1:19" x14ac:dyDescent="0.25">
      <c r="A119">
        <v>2010102300</v>
      </c>
      <c r="B119" t="s">
        <v>28</v>
      </c>
      <c r="C119" t="s">
        <v>29</v>
      </c>
      <c r="D119" t="s">
        <v>337</v>
      </c>
      <c r="E119" t="s">
        <v>338</v>
      </c>
      <c r="F119" t="e">
        <f>--ds-btn-outline-danger-bg</f>
        <v>#NAME?</v>
      </c>
      <c r="G119" t="s">
        <v>112</v>
      </c>
      <c r="H119" t="s">
        <v>112</v>
      </c>
      <c r="I119" t="s">
        <v>32</v>
      </c>
      <c r="J119" t="s">
        <v>24</v>
      </c>
      <c r="K119" t="s">
        <v>95</v>
      </c>
      <c r="L119" t="s">
        <v>161</v>
      </c>
      <c r="M119" t="s">
        <v>26</v>
      </c>
      <c r="N119" t="s">
        <v>339</v>
      </c>
      <c r="O119">
        <v>1</v>
      </c>
      <c r="P119">
        <v>1</v>
      </c>
      <c r="Q119">
        <v>0</v>
      </c>
      <c r="R119" s="1">
        <v>46177.858900462961</v>
      </c>
      <c r="S119" s="1">
        <v>46205.611666666664</v>
      </c>
    </row>
    <row r="120" spans="1:19" x14ac:dyDescent="0.25">
      <c r="A120">
        <v>2010102301</v>
      </c>
      <c r="B120" t="s">
        <v>28</v>
      </c>
      <c r="C120" t="s">
        <v>29</v>
      </c>
      <c r="D120" t="s">
        <v>340</v>
      </c>
      <c r="E120" t="s">
        <v>341</v>
      </c>
      <c r="F120" t="e">
        <f>--ds-btn-outline-danger-text</f>
        <v>#NAME?</v>
      </c>
      <c r="G120" t="s">
        <v>160</v>
      </c>
      <c r="H120" t="s">
        <v>160</v>
      </c>
      <c r="I120" t="s">
        <v>32</v>
      </c>
      <c r="J120" t="s">
        <v>24</v>
      </c>
      <c r="K120" t="s">
        <v>95</v>
      </c>
      <c r="L120" t="s">
        <v>161</v>
      </c>
      <c r="M120" t="s">
        <v>38</v>
      </c>
      <c r="N120" t="s">
        <v>339</v>
      </c>
      <c r="O120">
        <v>1</v>
      </c>
      <c r="P120">
        <v>1</v>
      </c>
      <c r="Q120">
        <v>0</v>
      </c>
      <c r="R120" s="1">
        <v>46177.858900462961</v>
      </c>
      <c r="S120" s="1">
        <v>46205.611666666664</v>
      </c>
    </row>
    <row r="121" spans="1:19" x14ac:dyDescent="0.25">
      <c r="A121">
        <v>2010102302</v>
      </c>
      <c r="B121" t="s">
        <v>28</v>
      </c>
      <c r="C121" t="s">
        <v>29</v>
      </c>
      <c r="D121" t="s">
        <v>342</v>
      </c>
      <c r="E121" t="s">
        <v>343</v>
      </c>
      <c r="F121" t="e">
        <f>--ds-btn-outline-danger-border</f>
        <v>#NAME?</v>
      </c>
      <c r="G121" t="s">
        <v>160</v>
      </c>
      <c r="H121" t="s">
        <v>160</v>
      </c>
      <c r="I121" t="s">
        <v>32</v>
      </c>
      <c r="J121" t="s">
        <v>24</v>
      </c>
      <c r="K121" t="s">
        <v>95</v>
      </c>
      <c r="L121" t="s">
        <v>161</v>
      </c>
      <c r="M121" t="s">
        <v>42</v>
      </c>
      <c r="N121" t="s">
        <v>339</v>
      </c>
      <c r="O121">
        <v>1</v>
      </c>
      <c r="P121">
        <v>1</v>
      </c>
      <c r="Q121">
        <v>0</v>
      </c>
      <c r="R121" s="1">
        <v>46177.858900462961</v>
      </c>
      <c r="S121" s="1">
        <v>46205.611666666664</v>
      </c>
    </row>
    <row r="122" spans="1:19" x14ac:dyDescent="0.25">
      <c r="A122">
        <v>2010102303</v>
      </c>
      <c r="B122" t="s">
        <v>28</v>
      </c>
      <c r="C122" t="s">
        <v>29</v>
      </c>
      <c r="D122" t="s">
        <v>344</v>
      </c>
      <c r="E122" t="s">
        <v>345</v>
      </c>
      <c r="F122" t="e">
        <f>--ds-btn-outline-danger-hover-bg</f>
        <v>#NAME?</v>
      </c>
      <c r="G122" t="s">
        <v>160</v>
      </c>
      <c r="H122" t="s">
        <v>160</v>
      </c>
      <c r="I122" t="s">
        <v>32</v>
      </c>
      <c r="J122" t="s">
        <v>24</v>
      </c>
      <c r="K122" t="s">
        <v>95</v>
      </c>
      <c r="L122" t="s">
        <v>161</v>
      </c>
      <c r="M122" t="s">
        <v>46</v>
      </c>
      <c r="N122" t="s">
        <v>339</v>
      </c>
      <c r="O122">
        <v>1</v>
      </c>
      <c r="P122">
        <v>1</v>
      </c>
      <c r="Q122">
        <v>0</v>
      </c>
      <c r="R122" s="1">
        <v>46177.858900462961</v>
      </c>
      <c r="S122" s="1">
        <v>46205.611666666664</v>
      </c>
    </row>
    <row r="123" spans="1:19" x14ac:dyDescent="0.25">
      <c r="A123">
        <v>2010102304</v>
      </c>
      <c r="B123" t="s">
        <v>28</v>
      </c>
      <c r="C123" t="s">
        <v>29</v>
      </c>
      <c r="D123" t="s">
        <v>346</v>
      </c>
      <c r="E123" t="s">
        <v>347</v>
      </c>
      <c r="F123" t="e">
        <f>--ds-btn-outline-danger-hover-text</f>
        <v>#NAME?</v>
      </c>
      <c r="G123" t="s">
        <v>37</v>
      </c>
      <c r="H123" t="s">
        <v>37</v>
      </c>
      <c r="I123" t="s">
        <v>32</v>
      </c>
      <c r="J123" t="s">
        <v>24</v>
      </c>
      <c r="K123" t="s">
        <v>95</v>
      </c>
      <c r="L123" t="s">
        <v>161</v>
      </c>
      <c r="M123" t="s">
        <v>49</v>
      </c>
      <c r="N123" t="s">
        <v>339</v>
      </c>
      <c r="O123">
        <v>1</v>
      </c>
      <c r="P123">
        <v>1</v>
      </c>
      <c r="Q123">
        <v>0</v>
      </c>
      <c r="R123" s="1">
        <v>46177.858900462961</v>
      </c>
      <c r="S123" s="1">
        <v>46205.611666666664</v>
      </c>
    </row>
    <row r="124" spans="1:19" x14ac:dyDescent="0.25">
      <c r="A124">
        <v>2010102305</v>
      </c>
      <c r="B124" t="s">
        <v>28</v>
      </c>
      <c r="C124" t="s">
        <v>29</v>
      </c>
      <c r="D124" t="s">
        <v>348</v>
      </c>
      <c r="E124" t="s">
        <v>349</v>
      </c>
      <c r="F124" t="e">
        <f>--ds-btn-outline-danger-hover-border</f>
        <v>#NAME?</v>
      </c>
      <c r="G124" t="s">
        <v>160</v>
      </c>
      <c r="H124" t="s">
        <v>160</v>
      </c>
      <c r="I124" t="s">
        <v>32</v>
      </c>
      <c r="J124" t="s">
        <v>24</v>
      </c>
      <c r="K124" t="s">
        <v>95</v>
      </c>
      <c r="L124" t="s">
        <v>161</v>
      </c>
      <c r="M124" t="s">
        <v>53</v>
      </c>
      <c r="N124" t="s">
        <v>339</v>
      </c>
      <c r="O124">
        <v>1</v>
      </c>
      <c r="P124">
        <v>1</v>
      </c>
      <c r="Q124">
        <v>0</v>
      </c>
      <c r="R124" s="1">
        <v>46177.858900462961</v>
      </c>
      <c r="S124" s="1">
        <v>46205.611666666664</v>
      </c>
    </row>
    <row r="125" spans="1:19" x14ac:dyDescent="0.25">
      <c r="A125">
        <v>2010102306</v>
      </c>
      <c r="B125" t="s">
        <v>28</v>
      </c>
      <c r="C125" t="s">
        <v>29</v>
      </c>
      <c r="D125" t="s">
        <v>350</v>
      </c>
      <c r="E125" t="s">
        <v>351</v>
      </c>
      <c r="F125" t="e">
        <f>--ds-btn-outline-danger-disabled-bg</f>
        <v>#NAME?</v>
      </c>
      <c r="G125" t="s">
        <v>112</v>
      </c>
      <c r="H125" t="s">
        <v>112</v>
      </c>
      <c r="I125" t="s">
        <v>32</v>
      </c>
      <c r="J125" t="s">
        <v>24</v>
      </c>
      <c r="K125" t="s">
        <v>95</v>
      </c>
      <c r="L125" t="s">
        <v>161</v>
      </c>
      <c r="M125" t="s">
        <v>57</v>
      </c>
      <c r="N125" t="s">
        <v>339</v>
      </c>
      <c r="O125">
        <v>1</v>
      </c>
      <c r="P125">
        <v>1</v>
      </c>
      <c r="Q125">
        <v>0</v>
      </c>
      <c r="R125" s="1">
        <v>46177.858900462961</v>
      </c>
      <c r="S125" s="1">
        <v>46205.611666666664</v>
      </c>
    </row>
    <row r="126" spans="1:19" x14ac:dyDescent="0.25">
      <c r="A126">
        <v>2010102307</v>
      </c>
      <c r="B126" t="s">
        <v>28</v>
      </c>
      <c r="C126" t="s">
        <v>29</v>
      </c>
      <c r="D126" t="s">
        <v>352</v>
      </c>
      <c r="E126" t="s">
        <v>353</v>
      </c>
      <c r="F126" t="e">
        <f>--ds-btn-outline-danger-disabled-text</f>
        <v>#NAME?</v>
      </c>
      <c r="G126" t="s">
        <v>160</v>
      </c>
      <c r="H126" t="s">
        <v>160</v>
      </c>
      <c r="I126" t="s">
        <v>32</v>
      </c>
      <c r="J126" t="s">
        <v>24</v>
      </c>
      <c r="K126" t="s">
        <v>95</v>
      </c>
      <c r="L126" t="s">
        <v>161</v>
      </c>
      <c r="M126" t="s">
        <v>61</v>
      </c>
      <c r="N126" t="s">
        <v>339</v>
      </c>
      <c r="O126">
        <v>1</v>
      </c>
      <c r="P126">
        <v>1</v>
      </c>
      <c r="Q126">
        <v>0</v>
      </c>
      <c r="R126" s="1">
        <v>46177.858900462961</v>
      </c>
      <c r="S126" s="1">
        <v>46205.611666666664</v>
      </c>
    </row>
    <row r="127" spans="1:19" x14ac:dyDescent="0.25">
      <c r="A127">
        <v>2010102308</v>
      </c>
      <c r="B127" t="s">
        <v>28</v>
      </c>
      <c r="C127" t="s">
        <v>29</v>
      </c>
      <c r="D127" t="s">
        <v>354</v>
      </c>
      <c r="E127" t="s">
        <v>355</v>
      </c>
      <c r="F127" t="e">
        <f>--ds-btn-outline-danger-disabled-border</f>
        <v>#NAME?</v>
      </c>
      <c r="G127" t="s">
        <v>160</v>
      </c>
      <c r="H127" t="s">
        <v>160</v>
      </c>
      <c r="I127" t="s">
        <v>32</v>
      </c>
      <c r="J127" t="s">
        <v>24</v>
      </c>
      <c r="K127" t="s">
        <v>95</v>
      </c>
      <c r="L127" t="s">
        <v>161</v>
      </c>
      <c r="M127" t="s">
        <v>65</v>
      </c>
      <c r="N127" t="s">
        <v>339</v>
      </c>
      <c r="O127">
        <v>1</v>
      </c>
      <c r="P127">
        <v>1</v>
      </c>
      <c r="Q127">
        <v>0</v>
      </c>
      <c r="R127" s="1">
        <v>46177.858900462961</v>
      </c>
      <c r="S127" s="1">
        <v>46205.611666666664</v>
      </c>
    </row>
    <row r="128" spans="1:19" x14ac:dyDescent="0.25">
      <c r="A128">
        <v>2010102400</v>
      </c>
      <c r="B128" t="s">
        <v>28</v>
      </c>
      <c r="C128" t="s">
        <v>29</v>
      </c>
      <c r="D128" t="s">
        <v>356</v>
      </c>
      <c r="E128" t="s">
        <v>357</v>
      </c>
      <c r="F128" t="e">
        <f>--ds-btn-outline-warning-bg</f>
        <v>#NAME?</v>
      </c>
      <c r="G128" t="s">
        <v>112</v>
      </c>
      <c r="H128" t="s">
        <v>112</v>
      </c>
      <c r="I128" t="s">
        <v>32</v>
      </c>
      <c r="J128" t="s">
        <v>24</v>
      </c>
      <c r="K128" t="s">
        <v>95</v>
      </c>
      <c r="L128" t="s">
        <v>183</v>
      </c>
      <c r="M128" t="s">
        <v>26</v>
      </c>
      <c r="N128" t="s">
        <v>358</v>
      </c>
      <c r="O128">
        <v>1</v>
      </c>
      <c r="P128">
        <v>1</v>
      </c>
      <c r="Q128">
        <v>0</v>
      </c>
      <c r="R128" s="1">
        <v>46177.858900462961</v>
      </c>
      <c r="S128" s="1">
        <v>46205.611666666664</v>
      </c>
    </row>
    <row r="129" spans="1:19" x14ac:dyDescent="0.25">
      <c r="A129">
        <v>2010102401</v>
      </c>
      <c r="B129" t="s">
        <v>28</v>
      </c>
      <c r="C129" t="s">
        <v>29</v>
      </c>
      <c r="D129" t="s">
        <v>359</v>
      </c>
      <c r="E129" t="s">
        <v>360</v>
      </c>
      <c r="F129" t="e">
        <f>--ds-btn-outline-warning-text</f>
        <v>#NAME?</v>
      </c>
      <c r="G129" t="s">
        <v>182</v>
      </c>
      <c r="H129" t="s">
        <v>182</v>
      </c>
      <c r="I129" t="s">
        <v>32</v>
      </c>
      <c r="J129" t="s">
        <v>24</v>
      </c>
      <c r="K129" t="s">
        <v>95</v>
      </c>
      <c r="L129" t="s">
        <v>183</v>
      </c>
      <c r="M129" t="s">
        <v>38</v>
      </c>
      <c r="N129" t="s">
        <v>358</v>
      </c>
      <c r="O129">
        <v>1</v>
      </c>
      <c r="P129">
        <v>1</v>
      </c>
      <c r="Q129">
        <v>0</v>
      </c>
      <c r="R129" s="1">
        <v>46177.858900462961</v>
      </c>
      <c r="S129" s="1">
        <v>46205.611666666664</v>
      </c>
    </row>
    <row r="130" spans="1:19" x14ac:dyDescent="0.25">
      <c r="A130">
        <v>2010102402</v>
      </c>
      <c r="B130" t="s">
        <v>28</v>
      </c>
      <c r="C130" t="s">
        <v>29</v>
      </c>
      <c r="D130" t="s">
        <v>361</v>
      </c>
      <c r="E130" t="s">
        <v>362</v>
      </c>
      <c r="F130" t="e">
        <f>--ds-btn-outline-warning-border</f>
        <v>#NAME?</v>
      </c>
      <c r="G130" t="s">
        <v>182</v>
      </c>
      <c r="H130" t="s">
        <v>182</v>
      </c>
      <c r="I130" t="s">
        <v>32</v>
      </c>
      <c r="J130" t="s">
        <v>24</v>
      </c>
      <c r="K130" t="s">
        <v>95</v>
      </c>
      <c r="L130" t="s">
        <v>183</v>
      </c>
      <c r="M130" t="s">
        <v>42</v>
      </c>
      <c r="N130" t="s">
        <v>358</v>
      </c>
      <c r="O130">
        <v>1</v>
      </c>
      <c r="P130">
        <v>1</v>
      </c>
      <c r="Q130">
        <v>0</v>
      </c>
      <c r="R130" s="1">
        <v>46177.858900462961</v>
      </c>
      <c r="S130" s="1">
        <v>46205.611666666664</v>
      </c>
    </row>
    <row r="131" spans="1:19" x14ac:dyDescent="0.25">
      <c r="A131">
        <v>2010102403</v>
      </c>
      <c r="B131" t="s">
        <v>28</v>
      </c>
      <c r="C131" t="s">
        <v>29</v>
      </c>
      <c r="D131" t="s">
        <v>363</v>
      </c>
      <c r="E131" t="s">
        <v>364</v>
      </c>
      <c r="F131" t="e">
        <f>--ds-btn-outline-warning-hover-bg</f>
        <v>#NAME?</v>
      </c>
      <c r="G131" t="s">
        <v>182</v>
      </c>
      <c r="H131" t="s">
        <v>182</v>
      </c>
      <c r="I131" t="s">
        <v>32</v>
      </c>
      <c r="J131" t="s">
        <v>24</v>
      </c>
      <c r="K131" t="s">
        <v>95</v>
      </c>
      <c r="L131" t="s">
        <v>183</v>
      </c>
      <c r="M131" t="s">
        <v>46</v>
      </c>
      <c r="N131" t="s">
        <v>358</v>
      </c>
      <c r="O131">
        <v>1</v>
      </c>
      <c r="P131">
        <v>1</v>
      </c>
      <c r="Q131">
        <v>0</v>
      </c>
      <c r="R131" s="1">
        <v>46177.858900462961</v>
      </c>
      <c r="S131" s="1">
        <v>46205.611666666664</v>
      </c>
    </row>
    <row r="132" spans="1:19" x14ac:dyDescent="0.25">
      <c r="A132">
        <v>2010102404</v>
      </c>
      <c r="B132" t="s">
        <v>28</v>
      </c>
      <c r="C132" t="s">
        <v>29</v>
      </c>
      <c r="D132" t="s">
        <v>365</v>
      </c>
      <c r="E132" t="s">
        <v>366</v>
      </c>
      <c r="F132" t="e">
        <f>--ds-btn-outline-warning-hover-text</f>
        <v>#NAME?</v>
      </c>
      <c r="G132" t="s">
        <v>117</v>
      </c>
      <c r="H132" t="s">
        <v>117</v>
      </c>
      <c r="I132" t="s">
        <v>32</v>
      </c>
      <c r="J132" t="s">
        <v>24</v>
      </c>
      <c r="K132" t="s">
        <v>95</v>
      </c>
      <c r="L132" t="s">
        <v>183</v>
      </c>
      <c r="M132" t="s">
        <v>49</v>
      </c>
      <c r="N132" t="s">
        <v>358</v>
      </c>
      <c r="O132">
        <v>1</v>
      </c>
      <c r="P132">
        <v>1</v>
      </c>
      <c r="Q132">
        <v>0</v>
      </c>
      <c r="R132" s="1">
        <v>46177.858900462961</v>
      </c>
      <c r="S132" s="1">
        <v>46205.611666666664</v>
      </c>
    </row>
    <row r="133" spans="1:19" x14ac:dyDescent="0.25">
      <c r="A133">
        <v>2010102405</v>
      </c>
      <c r="B133" t="s">
        <v>28</v>
      </c>
      <c r="C133" t="s">
        <v>29</v>
      </c>
      <c r="D133" t="s">
        <v>367</v>
      </c>
      <c r="E133" t="s">
        <v>368</v>
      </c>
      <c r="F133" t="e">
        <f>--ds-btn-outline-warning-hover-border</f>
        <v>#NAME?</v>
      </c>
      <c r="G133" t="s">
        <v>182</v>
      </c>
      <c r="H133" t="s">
        <v>182</v>
      </c>
      <c r="I133" t="s">
        <v>32</v>
      </c>
      <c r="J133" t="s">
        <v>24</v>
      </c>
      <c r="K133" t="s">
        <v>95</v>
      </c>
      <c r="L133" t="s">
        <v>183</v>
      </c>
      <c r="M133" t="s">
        <v>53</v>
      </c>
      <c r="N133" t="s">
        <v>358</v>
      </c>
      <c r="O133">
        <v>1</v>
      </c>
      <c r="P133">
        <v>1</v>
      </c>
      <c r="Q133">
        <v>0</v>
      </c>
      <c r="R133" s="1">
        <v>46177.858900462961</v>
      </c>
      <c r="S133" s="1">
        <v>46205.611666666664</v>
      </c>
    </row>
    <row r="134" spans="1:19" x14ac:dyDescent="0.25">
      <c r="A134">
        <v>2010102406</v>
      </c>
      <c r="B134" t="s">
        <v>28</v>
      </c>
      <c r="C134" t="s">
        <v>29</v>
      </c>
      <c r="D134" t="s">
        <v>369</v>
      </c>
      <c r="E134" t="s">
        <v>370</v>
      </c>
      <c r="F134" t="e">
        <f>--ds-btn-outline-warning-disabled-bg</f>
        <v>#NAME?</v>
      </c>
      <c r="G134" t="s">
        <v>112</v>
      </c>
      <c r="H134" t="s">
        <v>112</v>
      </c>
      <c r="I134" t="s">
        <v>32</v>
      </c>
      <c r="J134" t="s">
        <v>24</v>
      </c>
      <c r="K134" t="s">
        <v>95</v>
      </c>
      <c r="L134" t="s">
        <v>183</v>
      </c>
      <c r="M134" t="s">
        <v>57</v>
      </c>
      <c r="N134" t="s">
        <v>358</v>
      </c>
      <c r="O134">
        <v>1</v>
      </c>
      <c r="P134">
        <v>1</v>
      </c>
      <c r="Q134">
        <v>0</v>
      </c>
      <c r="R134" s="1">
        <v>46177.858900462961</v>
      </c>
      <c r="S134" s="1">
        <v>46205.611666666664</v>
      </c>
    </row>
    <row r="135" spans="1:19" x14ac:dyDescent="0.25">
      <c r="A135">
        <v>2010102407</v>
      </c>
      <c r="B135" t="s">
        <v>28</v>
      </c>
      <c r="C135" t="s">
        <v>29</v>
      </c>
      <c r="D135" t="s">
        <v>371</v>
      </c>
      <c r="E135" t="s">
        <v>372</v>
      </c>
      <c r="F135" t="e">
        <f>--ds-btn-outline-warning-disabled-text</f>
        <v>#NAME?</v>
      </c>
      <c r="G135" t="s">
        <v>182</v>
      </c>
      <c r="H135" t="s">
        <v>182</v>
      </c>
      <c r="I135" t="s">
        <v>32</v>
      </c>
      <c r="J135" t="s">
        <v>24</v>
      </c>
      <c r="K135" t="s">
        <v>95</v>
      </c>
      <c r="L135" t="s">
        <v>183</v>
      </c>
      <c r="M135" t="s">
        <v>61</v>
      </c>
      <c r="N135" t="s">
        <v>358</v>
      </c>
      <c r="O135">
        <v>1</v>
      </c>
      <c r="P135">
        <v>1</v>
      </c>
      <c r="Q135">
        <v>0</v>
      </c>
      <c r="R135" s="1">
        <v>46177.858900462961</v>
      </c>
      <c r="S135" s="1">
        <v>46205.611666666664</v>
      </c>
    </row>
    <row r="136" spans="1:19" x14ac:dyDescent="0.25">
      <c r="A136">
        <v>2010102408</v>
      </c>
      <c r="B136" t="s">
        <v>28</v>
      </c>
      <c r="C136" t="s">
        <v>29</v>
      </c>
      <c r="D136" t="s">
        <v>373</v>
      </c>
      <c r="E136" t="s">
        <v>374</v>
      </c>
      <c r="F136" t="e">
        <f>--ds-btn-outline-warning-disabled-border</f>
        <v>#NAME?</v>
      </c>
      <c r="G136" t="s">
        <v>182</v>
      </c>
      <c r="H136" t="s">
        <v>182</v>
      </c>
      <c r="I136" t="s">
        <v>32</v>
      </c>
      <c r="J136" t="s">
        <v>24</v>
      </c>
      <c r="K136" t="s">
        <v>95</v>
      </c>
      <c r="L136" t="s">
        <v>183</v>
      </c>
      <c r="M136" t="s">
        <v>65</v>
      </c>
      <c r="N136" t="s">
        <v>358</v>
      </c>
      <c r="O136">
        <v>1</v>
      </c>
      <c r="P136">
        <v>1</v>
      </c>
      <c r="Q136">
        <v>0</v>
      </c>
      <c r="R136" s="1">
        <v>46177.858900462961</v>
      </c>
      <c r="S136" s="1">
        <v>46205.611666666664</v>
      </c>
    </row>
    <row r="137" spans="1:19" x14ac:dyDescent="0.25">
      <c r="A137">
        <v>2010102500</v>
      </c>
      <c r="B137" t="s">
        <v>28</v>
      </c>
      <c r="C137" t="s">
        <v>29</v>
      </c>
      <c r="D137" t="s">
        <v>375</v>
      </c>
      <c r="E137" t="s">
        <v>376</v>
      </c>
      <c r="F137" t="e">
        <f>--ds-btn-outline-info-bg</f>
        <v>#NAME?</v>
      </c>
      <c r="G137" t="s">
        <v>112</v>
      </c>
      <c r="H137" t="s">
        <v>112</v>
      </c>
      <c r="I137" t="s">
        <v>32</v>
      </c>
      <c r="J137" t="s">
        <v>24</v>
      </c>
      <c r="K137" t="s">
        <v>95</v>
      </c>
      <c r="L137" t="s">
        <v>205</v>
      </c>
      <c r="M137" t="s">
        <v>26</v>
      </c>
      <c r="N137" t="s">
        <v>377</v>
      </c>
      <c r="O137">
        <v>1</v>
      </c>
      <c r="P137">
        <v>1</v>
      </c>
      <c r="Q137">
        <v>0</v>
      </c>
      <c r="R137" s="1">
        <v>46177.858900462961</v>
      </c>
      <c r="S137" s="1">
        <v>46205.611666666664</v>
      </c>
    </row>
    <row r="138" spans="1:19" x14ac:dyDescent="0.25">
      <c r="A138">
        <v>2010102501</v>
      </c>
      <c r="B138" t="s">
        <v>28</v>
      </c>
      <c r="C138" t="s">
        <v>29</v>
      </c>
      <c r="D138" t="s">
        <v>378</v>
      </c>
      <c r="E138" t="s">
        <v>379</v>
      </c>
      <c r="F138" t="e">
        <f>--ds-btn-outline-info-text</f>
        <v>#NAME?</v>
      </c>
      <c r="G138" t="s">
        <v>204</v>
      </c>
      <c r="H138" t="s">
        <v>204</v>
      </c>
      <c r="I138" t="s">
        <v>32</v>
      </c>
      <c r="J138" t="s">
        <v>24</v>
      </c>
      <c r="K138" t="s">
        <v>95</v>
      </c>
      <c r="L138" t="s">
        <v>205</v>
      </c>
      <c r="M138" t="s">
        <v>38</v>
      </c>
      <c r="N138" t="s">
        <v>377</v>
      </c>
      <c r="O138">
        <v>1</v>
      </c>
      <c r="P138">
        <v>1</v>
      </c>
      <c r="Q138">
        <v>0</v>
      </c>
      <c r="R138" s="1">
        <v>46177.858900462961</v>
      </c>
      <c r="S138" s="1">
        <v>46205.611666666664</v>
      </c>
    </row>
    <row r="139" spans="1:19" x14ac:dyDescent="0.25">
      <c r="A139">
        <v>2010102502</v>
      </c>
      <c r="B139" t="s">
        <v>28</v>
      </c>
      <c r="C139" t="s">
        <v>29</v>
      </c>
      <c r="D139" t="s">
        <v>380</v>
      </c>
      <c r="E139" t="s">
        <v>381</v>
      </c>
      <c r="F139" t="e">
        <f>--ds-btn-outline-info-border</f>
        <v>#NAME?</v>
      </c>
      <c r="G139" t="s">
        <v>204</v>
      </c>
      <c r="H139" t="s">
        <v>204</v>
      </c>
      <c r="I139" t="s">
        <v>32</v>
      </c>
      <c r="J139" t="s">
        <v>24</v>
      </c>
      <c r="K139" t="s">
        <v>95</v>
      </c>
      <c r="L139" t="s">
        <v>205</v>
      </c>
      <c r="M139" t="s">
        <v>42</v>
      </c>
      <c r="N139" t="s">
        <v>377</v>
      </c>
      <c r="O139">
        <v>1</v>
      </c>
      <c r="P139">
        <v>1</v>
      </c>
      <c r="Q139">
        <v>0</v>
      </c>
      <c r="R139" s="1">
        <v>46177.858900462961</v>
      </c>
      <c r="S139" s="1">
        <v>46205.611666666664</v>
      </c>
    </row>
    <row r="140" spans="1:19" x14ac:dyDescent="0.25">
      <c r="A140">
        <v>2010102503</v>
      </c>
      <c r="B140" t="s">
        <v>28</v>
      </c>
      <c r="C140" t="s">
        <v>29</v>
      </c>
      <c r="D140" t="s">
        <v>382</v>
      </c>
      <c r="E140" t="s">
        <v>383</v>
      </c>
      <c r="F140" t="e">
        <f>--ds-btn-outline-info-hover-bg</f>
        <v>#NAME?</v>
      </c>
      <c r="G140" t="s">
        <v>204</v>
      </c>
      <c r="H140" t="s">
        <v>204</v>
      </c>
      <c r="I140" t="s">
        <v>32</v>
      </c>
      <c r="J140" t="s">
        <v>24</v>
      </c>
      <c r="K140" t="s">
        <v>95</v>
      </c>
      <c r="L140" t="s">
        <v>205</v>
      </c>
      <c r="M140" t="s">
        <v>46</v>
      </c>
      <c r="N140" t="s">
        <v>377</v>
      </c>
      <c r="O140">
        <v>1</v>
      </c>
      <c r="P140">
        <v>1</v>
      </c>
      <c r="Q140">
        <v>0</v>
      </c>
      <c r="R140" s="1">
        <v>46177.858900462961</v>
      </c>
      <c r="S140" s="1">
        <v>46205.611666666664</v>
      </c>
    </row>
    <row r="141" spans="1:19" x14ac:dyDescent="0.25">
      <c r="A141">
        <v>2010102504</v>
      </c>
      <c r="B141" t="s">
        <v>28</v>
      </c>
      <c r="C141" t="s">
        <v>29</v>
      </c>
      <c r="D141" t="s">
        <v>384</v>
      </c>
      <c r="E141" t="s">
        <v>385</v>
      </c>
      <c r="F141" t="e">
        <f>--ds-btn-outline-info-hover-text</f>
        <v>#NAME?</v>
      </c>
      <c r="G141" t="s">
        <v>117</v>
      </c>
      <c r="H141" t="s">
        <v>117</v>
      </c>
      <c r="I141" t="s">
        <v>32</v>
      </c>
      <c r="J141" t="s">
        <v>24</v>
      </c>
      <c r="K141" t="s">
        <v>95</v>
      </c>
      <c r="L141" t="s">
        <v>205</v>
      </c>
      <c r="M141" t="s">
        <v>49</v>
      </c>
      <c r="N141" t="s">
        <v>377</v>
      </c>
      <c r="O141">
        <v>1</v>
      </c>
      <c r="P141">
        <v>1</v>
      </c>
      <c r="Q141">
        <v>0</v>
      </c>
      <c r="R141" s="1">
        <v>46177.858900462961</v>
      </c>
      <c r="S141" s="1">
        <v>46205.611666666664</v>
      </c>
    </row>
    <row r="142" spans="1:19" x14ac:dyDescent="0.25">
      <c r="A142">
        <v>2010102505</v>
      </c>
      <c r="B142" t="s">
        <v>28</v>
      </c>
      <c r="C142" t="s">
        <v>29</v>
      </c>
      <c r="D142" t="s">
        <v>386</v>
      </c>
      <c r="E142" t="s">
        <v>387</v>
      </c>
      <c r="F142" t="e">
        <f>--ds-btn-outline-info-hover-border</f>
        <v>#NAME?</v>
      </c>
      <c r="G142" t="s">
        <v>204</v>
      </c>
      <c r="H142" t="s">
        <v>204</v>
      </c>
      <c r="I142" t="s">
        <v>32</v>
      </c>
      <c r="J142" t="s">
        <v>24</v>
      </c>
      <c r="K142" t="s">
        <v>95</v>
      </c>
      <c r="L142" t="s">
        <v>205</v>
      </c>
      <c r="M142" t="s">
        <v>53</v>
      </c>
      <c r="N142" t="s">
        <v>377</v>
      </c>
      <c r="O142">
        <v>1</v>
      </c>
      <c r="P142">
        <v>1</v>
      </c>
      <c r="Q142">
        <v>0</v>
      </c>
      <c r="R142" s="1">
        <v>46177.858900462961</v>
      </c>
      <c r="S142" s="1">
        <v>46205.611666666664</v>
      </c>
    </row>
    <row r="143" spans="1:19" x14ac:dyDescent="0.25">
      <c r="A143">
        <v>2010102506</v>
      </c>
      <c r="B143" t="s">
        <v>28</v>
      </c>
      <c r="C143" t="s">
        <v>29</v>
      </c>
      <c r="D143" t="s">
        <v>388</v>
      </c>
      <c r="E143" t="s">
        <v>389</v>
      </c>
      <c r="F143" t="e">
        <f>--ds-btn-outline-info-disabled-bg</f>
        <v>#NAME?</v>
      </c>
      <c r="G143" t="s">
        <v>112</v>
      </c>
      <c r="H143" t="s">
        <v>112</v>
      </c>
      <c r="I143" t="s">
        <v>32</v>
      </c>
      <c r="J143" t="s">
        <v>24</v>
      </c>
      <c r="K143" t="s">
        <v>95</v>
      </c>
      <c r="L143" t="s">
        <v>205</v>
      </c>
      <c r="M143" t="s">
        <v>57</v>
      </c>
      <c r="N143" t="s">
        <v>377</v>
      </c>
      <c r="O143">
        <v>1</v>
      </c>
      <c r="P143">
        <v>1</v>
      </c>
      <c r="Q143">
        <v>0</v>
      </c>
      <c r="R143" s="1">
        <v>46177.858900462961</v>
      </c>
      <c r="S143" s="1">
        <v>46205.611666666664</v>
      </c>
    </row>
    <row r="144" spans="1:19" x14ac:dyDescent="0.25">
      <c r="A144">
        <v>2010102507</v>
      </c>
      <c r="B144" t="s">
        <v>28</v>
      </c>
      <c r="C144" t="s">
        <v>29</v>
      </c>
      <c r="D144" t="s">
        <v>390</v>
      </c>
      <c r="E144" t="s">
        <v>391</v>
      </c>
      <c r="F144" t="e">
        <f>--ds-btn-outline-info-disabled-text</f>
        <v>#NAME?</v>
      </c>
      <c r="G144" t="s">
        <v>204</v>
      </c>
      <c r="H144" t="s">
        <v>204</v>
      </c>
      <c r="I144" t="s">
        <v>32</v>
      </c>
      <c r="J144" t="s">
        <v>24</v>
      </c>
      <c r="K144" t="s">
        <v>95</v>
      </c>
      <c r="L144" t="s">
        <v>205</v>
      </c>
      <c r="M144" t="s">
        <v>61</v>
      </c>
      <c r="N144" t="s">
        <v>377</v>
      </c>
      <c r="O144">
        <v>1</v>
      </c>
      <c r="P144">
        <v>1</v>
      </c>
      <c r="Q144">
        <v>0</v>
      </c>
      <c r="R144" s="1">
        <v>46177.858900462961</v>
      </c>
      <c r="S144" s="1">
        <v>46205.611666666664</v>
      </c>
    </row>
    <row r="145" spans="1:19" x14ac:dyDescent="0.25">
      <c r="A145">
        <v>2010102508</v>
      </c>
      <c r="B145" t="s">
        <v>28</v>
      </c>
      <c r="C145" t="s">
        <v>29</v>
      </c>
      <c r="D145" t="s">
        <v>392</v>
      </c>
      <c r="E145" t="s">
        <v>393</v>
      </c>
      <c r="F145" t="e">
        <f>--ds-btn-outline-info-disabled-border</f>
        <v>#NAME?</v>
      </c>
      <c r="G145" t="s">
        <v>204</v>
      </c>
      <c r="H145" t="s">
        <v>204</v>
      </c>
      <c r="I145" t="s">
        <v>32</v>
      </c>
      <c r="J145" t="s">
        <v>24</v>
      </c>
      <c r="K145" t="s">
        <v>95</v>
      </c>
      <c r="L145" t="s">
        <v>205</v>
      </c>
      <c r="M145" t="s">
        <v>65</v>
      </c>
      <c r="N145" t="s">
        <v>377</v>
      </c>
      <c r="O145">
        <v>1</v>
      </c>
      <c r="P145">
        <v>1</v>
      </c>
      <c r="Q145">
        <v>0</v>
      </c>
      <c r="R145" s="1">
        <v>46177.858900462961</v>
      </c>
      <c r="S145" s="1">
        <v>46205.611666666664</v>
      </c>
    </row>
    <row r="146" spans="1:19" x14ac:dyDescent="0.25">
      <c r="A146">
        <v>2010102600</v>
      </c>
      <c r="B146" t="s">
        <v>28</v>
      </c>
      <c r="C146" t="s">
        <v>29</v>
      </c>
      <c r="D146" t="s">
        <v>394</v>
      </c>
      <c r="E146" t="s">
        <v>395</v>
      </c>
      <c r="F146" t="e">
        <f>--ds-btn-outline-light-bg</f>
        <v>#NAME?</v>
      </c>
      <c r="G146" t="s">
        <v>112</v>
      </c>
      <c r="H146" t="s">
        <v>112</v>
      </c>
      <c r="I146" t="s">
        <v>32</v>
      </c>
      <c r="J146" t="s">
        <v>24</v>
      </c>
      <c r="K146" t="s">
        <v>95</v>
      </c>
      <c r="L146" t="s">
        <v>226</v>
      </c>
      <c r="M146" t="s">
        <v>26</v>
      </c>
      <c r="N146" t="s">
        <v>396</v>
      </c>
      <c r="O146">
        <v>1</v>
      </c>
      <c r="P146">
        <v>1</v>
      </c>
      <c r="Q146">
        <v>0</v>
      </c>
      <c r="R146" s="1">
        <v>46177.858900462961</v>
      </c>
      <c r="S146" s="1">
        <v>46205.611666666664</v>
      </c>
    </row>
    <row r="147" spans="1:19" x14ac:dyDescent="0.25">
      <c r="A147">
        <v>2010102601</v>
      </c>
      <c r="B147" t="s">
        <v>28</v>
      </c>
      <c r="C147" t="s">
        <v>29</v>
      </c>
      <c r="D147" t="s">
        <v>397</v>
      </c>
      <c r="E147" t="s">
        <v>398</v>
      </c>
      <c r="F147" t="e">
        <f>--ds-btn-outline-light-text</f>
        <v>#NAME?</v>
      </c>
      <c r="G147" t="s">
        <v>123</v>
      </c>
      <c r="H147" t="s">
        <v>123</v>
      </c>
      <c r="I147" t="s">
        <v>32</v>
      </c>
      <c r="J147" t="s">
        <v>24</v>
      </c>
      <c r="K147" t="s">
        <v>95</v>
      </c>
      <c r="L147" t="s">
        <v>226</v>
      </c>
      <c r="M147" t="s">
        <v>38</v>
      </c>
      <c r="N147" t="s">
        <v>396</v>
      </c>
      <c r="O147">
        <v>1</v>
      </c>
      <c r="P147">
        <v>1</v>
      </c>
      <c r="Q147">
        <v>0</v>
      </c>
      <c r="R147" s="1">
        <v>46177.858900462961</v>
      </c>
      <c r="S147" s="1">
        <v>46205.611666666664</v>
      </c>
    </row>
    <row r="148" spans="1:19" x14ac:dyDescent="0.25">
      <c r="A148">
        <v>2010102602</v>
      </c>
      <c r="B148" t="s">
        <v>28</v>
      </c>
      <c r="C148" t="s">
        <v>29</v>
      </c>
      <c r="D148" t="s">
        <v>399</v>
      </c>
      <c r="E148" t="s">
        <v>400</v>
      </c>
      <c r="F148" t="e">
        <f>--ds-btn-outline-light-border</f>
        <v>#NAME?</v>
      </c>
      <c r="G148" t="s">
        <v>123</v>
      </c>
      <c r="H148" t="s">
        <v>123</v>
      </c>
      <c r="I148" t="s">
        <v>32</v>
      </c>
      <c r="J148" t="s">
        <v>24</v>
      </c>
      <c r="K148" t="s">
        <v>95</v>
      </c>
      <c r="L148" t="s">
        <v>226</v>
      </c>
      <c r="M148" t="s">
        <v>42</v>
      </c>
      <c r="N148" t="s">
        <v>396</v>
      </c>
      <c r="O148">
        <v>1</v>
      </c>
      <c r="P148">
        <v>1</v>
      </c>
      <c r="Q148">
        <v>0</v>
      </c>
      <c r="R148" s="1">
        <v>46177.858900462961</v>
      </c>
      <c r="S148" s="1">
        <v>46205.611666666664</v>
      </c>
    </row>
    <row r="149" spans="1:19" x14ac:dyDescent="0.25">
      <c r="A149">
        <v>2010102603</v>
      </c>
      <c r="B149" t="s">
        <v>28</v>
      </c>
      <c r="C149" t="s">
        <v>29</v>
      </c>
      <c r="D149" t="s">
        <v>401</v>
      </c>
      <c r="E149" t="s">
        <v>402</v>
      </c>
      <c r="F149" t="e">
        <f>--ds-btn-outline-light-hover-bg</f>
        <v>#NAME?</v>
      </c>
      <c r="G149" t="s">
        <v>123</v>
      </c>
      <c r="H149" t="s">
        <v>123</v>
      </c>
      <c r="I149" t="s">
        <v>32</v>
      </c>
      <c r="J149" t="s">
        <v>24</v>
      </c>
      <c r="K149" t="s">
        <v>95</v>
      </c>
      <c r="L149" t="s">
        <v>226</v>
      </c>
      <c r="M149" t="s">
        <v>46</v>
      </c>
      <c r="N149" t="s">
        <v>396</v>
      </c>
      <c r="O149">
        <v>1</v>
      </c>
      <c r="P149">
        <v>1</v>
      </c>
      <c r="Q149">
        <v>0</v>
      </c>
      <c r="R149" s="1">
        <v>46177.858900462961</v>
      </c>
      <c r="S149" s="1">
        <v>46205.611666666664</v>
      </c>
    </row>
    <row r="150" spans="1:19" x14ac:dyDescent="0.25">
      <c r="A150">
        <v>2010102604</v>
      </c>
      <c r="B150" t="s">
        <v>28</v>
      </c>
      <c r="C150" t="s">
        <v>29</v>
      </c>
      <c r="D150" t="s">
        <v>403</v>
      </c>
      <c r="E150" t="s">
        <v>404</v>
      </c>
      <c r="F150" t="e">
        <f>--ds-btn-outline-light-hover-text</f>
        <v>#NAME?</v>
      </c>
      <c r="G150" t="s">
        <v>117</v>
      </c>
      <c r="H150" t="s">
        <v>117</v>
      </c>
      <c r="I150" t="s">
        <v>32</v>
      </c>
      <c r="J150" t="s">
        <v>24</v>
      </c>
      <c r="K150" t="s">
        <v>95</v>
      </c>
      <c r="L150" t="s">
        <v>226</v>
      </c>
      <c r="M150" t="s">
        <v>49</v>
      </c>
      <c r="N150" t="s">
        <v>396</v>
      </c>
      <c r="O150">
        <v>1</v>
      </c>
      <c r="P150">
        <v>1</v>
      </c>
      <c r="Q150">
        <v>0</v>
      </c>
      <c r="R150" s="1">
        <v>46177.858900462961</v>
      </c>
      <c r="S150" s="1">
        <v>46205.611666666664</v>
      </c>
    </row>
    <row r="151" spans="1:19" x14ac:dyDescent="0.25">
      <c r="A151">
        <v>2010102605</v>
      </c>
      <c r="B151" t="s">
        <v>28</v>
      </c>
      <c r="C151" t="s">
        <v>29</v>
      </c>
      <c r="D151" t="s">
        <v>405</v>
      </c>
      <c r="E151" t="s">
        <v>406</v>
      </c>
      <c r="F151" t="e">
        <f>--ds-btn-outline-light-hover-border</f>
        <v>#NAME?</v>
      </c>
      <c r="G151" t="s">
        <v>123</v>
      </c>
      <c r="H151" t="s">
        <v>123</v>
      </c>
      <c r="I151" t="s">
        <v>32</v>
      </c>
      <c r="J151" t="s">
        <v>24</v>
      </c>
      <c r="K151" t="s">
        <v>95</v>
      </c>
      <c r="L151" t="s">
        <v>226</v>
      </c>
      <c r="M151" t="s">
        <v>53</v>
      </c>
      <c r="N151" t="s">
        <v>396</v>
      </c>
      <c r="O151">
        <v>1</v>
      </c>
      <c r="P151">
        <v>1</v>
      </c>
      <c r="Q151">
        <v>0</v>
      </c>
      <c r="R151" s="1">
        <v>46177.858900462961</v>
      </c>
      <c r="S151" s="1">
        <v>46205.611666666664</v>
      </c>
    </row>
    <row r="152" spans="1:19" x14ac:dyDescent="0.25">
      <c r="A152">
        <v>2010102606</v>
      </c>
      <c r="B152" t="s">
        <v>28</v>
      </c>
      <c r="C152" t="s">
        <v>29</v>
      </c>
      <c r="D152" t="s">
        <v>407</v>
      </c>
      <c r="E152" t="s">
        <v>408</v>
      </c>
      <c r="F152" t="e">
        <f>--ds-btn-outline-light-disabled-bg</f>
        <v>#NAME?</v>
      </c>
      <c r="G152" t="s">
        <v>112</v>
      </c>
      <c r="H152" t="s">
        <v>112</v>
      </c>
      <c r="I152" t="s">
        <v>32</v>
      </c>
      <c r="J152" t="s">
        <v>24</v>
      </c>
      <c r="K152" t="s">
        <v>95</v>
      </c>
      <c r="L152" t="s">
        <v>226</v>
      </c>
      <c r="M152" t="s">
        <v>57</v>
      </c>
      <c r="N152" t="s">
        <v>396</v>
      </c>
      <c r="O152">
        <v>1</v>
      </c>
      <c r="P152">
        <v>1</v>
      </c>
      <c r="Q152">
        <v>0</v>
      </c>
      <c r="R152" s="1">
        <v>46177.858900462961</v>
      </c>
      <c r="S152" s="1">
        <v>46205.611666666664</v>
      </c>
    </row>
    <row r="153" spans="1:19" x14ac:dyDescent="0.25">
      <c r="A153">
        <v>2010102607</v>
      </c>
      <c r="B153" t="s">
        <v>28</v>
      </c>
      <c r="C153" t="s">
        <v>29</v>
      </c>
      <c r="D153" t="s">
        <v>409</v>
      </c>
      <c r="E153" t="s">
        <v>410</v>
      </c>
      <c r="F153" t="e">
        <f>--ds-btn-outline-light-disabled-text</f>
        <v>#NAME?</v>
      </c>
      <c r="G153" t="s">
        <v>123</v>
      </c>
      <c r="H153" t="s">
        <v>123</v>
      </c>
      <c r="I153" t="s">
        <v>32</v>
      </c>
      <c r="J153" t="s">
        <v>24</v>
      </c>
      <c r="K153" t="s">
        <v>95</v>
      </c>
      <c r="L153" t="s">
        <v>226</v>
      </c>
      <c r="M153" t="s">
        <v>61</v>
      </c>
      <c r="N153" t="s">
        <v>396</v>
      </c>
      <c r="O153">
        <v>1</v>
      </c>
      <c r="P153">
        <v>1</v>
      </c>
      <c r="Q153">
        <v>0</v>
      </c>
      <c r="R153" s="1">
        <v>46177.858900462961</v>
      </c>
      <c r="S153" s="1">
        <v>46205.611666666664</v>
      </c>
    </row>
    <row r="154" spans="1:19" x14ac:dyDescent="0.25">
      <c r="A154">
        <v>2010102608</v>
      </c>
      <c r="B154" t="s">
        <v>28</v>
      </c>
      <c r="C154" t="s">
        <v>29</v>
      </c>
      <c r="D154" t="s">
        <v>411</v>
      </c>
      <c r="E154" t="s">
        <v>412</v>
      </c>
      <c r="F154" t="e">
        <f>--ds-btn-outline-light-disabled-border</f>
        <v>#NAME?</v>
      </c>
      <c r="G154" t="s">
        <v>123</v>
      </c>
      <c r="H154" t="s">
        <v>123</v>
      </c>
      <c r="I154" t="s">
        <v>32</v>
      </c>
      <c r="J154" t="s">
        <v>24</v>
      </c>
      <c r="K154" t="s">
        <v>95</v>
      </c>
      <c r="L154" t="s">
        <v>226</v>
      </c>
      <c r="M154" t="s">
        <v>65</v>
      </c>
      <c r="N154" t="s">
        <v>396</v>
      </c>
      <c r="O154">
        <v>1</v>
      </c>
      <c r="P154">
        <v>1</v>
      </c>
      <c r="Q154">
        <v>0</v>
      </c>
      <c r="R154" s="1">
        <v>46177.858900462961</v>
      </c>
      <c r="S154" s="1">
        <v>46205.611666666664</v>
      </c>
    </row>
    <row r="155" spans="1:19" x14ac:dyDescent="0.25">
      <c r="A155">
        <v>2010103000</v>
      </c>
      <c r="B155" t="s">
        <v>28</v>
      </c>
      <c r="C155" t="s">
        <v>29</v>
      </c>
      <c r="D155" t="s">
        <v>413</v>
      </c>
      <c r="E155" t="s">
        <v>414</v>
      </c>
      <c r="F155" t="e">
        <f>--ds-btn-soft-primary-bg</f>
        <v>#NAME?</v>
      </c>
      <c r="G155" t="s">
        <v>56</v>
      </c>
      <c r="H155" t="s">
        <v>56</v>
      </c>
      <c r="I155" t="s">
        <v>32</v>
      </c>
      <c r="J155" t="s">
        <v>24</v>
      </c>
      <c r="K155" t="s">
        <v>415</v>
      </c>
      <c r="L155" t="s">
        <v>25</v>
      </c>
      <c r="M155" t="s">
        <v>26</v>
      </c>
      <c r="N155" t="s">
        <v>416</v>
      </c>
      <c r="O155">
        <v>1</v>
      </c>
      <c r="P155">
        <v>1</v>
      </c>
      <c r="Q155">
        <v>0</v>
      </c>
      <c r="R155" s="1">
        <v>46177.862442129626</v>
      </c>
      <c r="S155" s="1">
        <v>46205.611666666664</v>
      </c>
    </row>
    <row r="156" spans="1:19" x14ac:dyDescent="0.25">
      <c r="A156">
        <v>2010103001</v>
      </c>
      <c r="B156" t="s">
        <v>28</v>
      </c>
      <c r="C156" t="s">
        <v>29</v>
      </c>
      <c r="D156" t="s">
        <v>417</v>
      </c>
      <c r="E156" t="s">
        <v>418</v>
      </c>
      <c r="F156" t="e">
        <f>--ds-btn-soft-primary-text</f>
        <v>#NAME?</v>
      </c>
      <c r="G156" t="s">
        <v>419</v>
      </c>
      <c r="H156" t="s">
        <v>419</v>
      </c>
      <c r="I156" t="s">
        <v>32</v>
      </c>
      <c r="J156" t="s">
        <v>24</v>
      </c>
      <c r="K156" t="s">
        <v>415</v>
      </c>
      <c r="L156" t="s">
        <v>25</v>
      </c>
      <c r="M156" t="s">
        <v>38</v>
      </c>
      <c r="N156" t="s">
        <v>416</v>
      </c>
      <c r="O156">
        <v>1</v>
      </c>
      <c r="P156">
        <v>1</v>
      </c>
      <c r="Q156">
        <v>0</v>
      </c>
      <c r="R156" s="1">
        <v>46177.862442129626</v>
      </c>
      <c r="S156" s="1">
        <v>46205.611666666664</v>
      </c>
    </row>
    <row r="157" spans="1:19" x14ac:dyDescent="0.25">
      <c r="A157">
        <v>2010103002</v>
      </c>
      <c r="B157" t="s">
        <v>28</v>
      </c>
      <c r="C157" t="s">
        <v>29</v>
      </c>
      <c r="D157" t="s">
        <v>420</v>
      </c>
      <c r="E157" t="s">
        <v>421</v>
      </c>
      <c r="F157" t="e">
        <f>--ds-btn-soft-primary-border</f>
        <v>#NAME?</v>
      </c>
      <c r="G157" t="s">
        <v>56</v>
      </c>
      <c r="H157" t="s">
        <v>56</v>
      </c>
      <c r="I157" t="s">
        <v>32</v>
      </c>
      <c r="J157" t="s">
        <v>24</v>
      </c>
      <c r="K157" t="s">
        <v>415</v>
      </c>
      <c r="L157" t="s">
        <v>25</v>
      </c>
      <c r="M157" t="s">
        <v>42</v>
      </c>
      <c r="N157" t="s">
        <v>416</v>
      </c>
      <c r="O157">
        <v>1</v>
      </c>
      <c r="P157">
        <v>1</v>
      </c>
      <c r="Q157">
        <v>0</v>
      </c>
      <c r="R157" s="1">
        <v>46177.862442129626</v>
      </c>
      <c r="S157" s="1">
        <v>46205.611666666664</v>
      </c>
    </row>
    <row r="158" spans="1:19" x14ac:dyDescent="0.25">
      <c r="A158">
        <v>2010103003</v>
      </c>
      <c r="B158" t="s">
        <v>28</v>
      </c>
      <c r="C158" t="s">
        <v>29</v>
      </c>
      <c r="D158" t="s">
        <v>422</v>
      </c>
      <c r="E158" t="s">
        <v>423</v>
      </c>
      <c r="F158" t="e">
        <f>--ds-btn-soft-primary-hover-bg</f>
        <v>#NAME?</v>
      </c>
      <c r="G158" t="s">
        <v>424</v>
      </c>
      <c r="H158" t="s">
        <v>424</v>
      </c>
      <c r="I158" t="s">
        <v>32</v>
      </c>
      <c r="J158" t="s">
        <v>24</v>
      </c>
      <c r="K158" t="s">
        <v>415</v>
      </c>
      <c r="L158" t="s">
        <v>25</v>
      </c>
      <c r="M158" t="s">
        <v>46</v>
      </c>
      <c r="N158" t="s">
        <v>416</v>
      </c>
      <c r="O158">
        <v>1</v>
      </c>
      <c r="P158">
        <v>1</v>
      </c>
      <c r="Q158">
        <v>0</v>
      </c>
      <c r="R158" s="1">
        <v>46177.862442129626</v>
      </c>
      <c r="S158" s="1">
        <v>46205.611666666664</v>
      </c>
    </row>
    <row r="159" spans="1:19" x14ac:dyDescent="0.25">
      <c r="A159">
        <v>2010103004</v>
      </c>
      <c r="B159" t="s">
        <v>28</v>
      </c>
      <c r="C159" t="s">
        <v>29</v>
      </c>
      <c r="D159" t="s">
        <v>425</v>
      </c>
      <c r="E159" t="s">
        <v>426</v>
      </c>
      <c r="F159" t="e">
        <f>--ds-btn-soft-primary-hover-text</f>
        <v>#NAME?</v>
      </c>
      <c r="G159" t="s">
        <v>427</v>
      </c>
      <c r="H159" t="s">
        <v>427</v>
      </c>
      <c r="I159" t="s">
        <v>32</v>
      </c>
      <c r="J159" t="s">
        <v>24</v>
      </c>
      <c r="K159" t="s">
        <v>415</v>
      </c>
      <c r="L159" t="s">
        <v>25</v>
      </c>
      <c r="M159" t="s">
        <v>49</v>
      </c>
      <c r="N159" t="s">
        <v>416</v>
      </c>
      <c r="O159">
        <v>1</v>
      </c>
      <c r="P159">
        <v>1</v>
      </c>
      <c r="Q159">
        <v>0</v>
      </c>
      <c r="R159" s="1">
        <v>46177.862442129626</v>
      </c>
      <c r="S159" s="1">
        <v>46205.611666666664</v>
      </c>
    </row>
    <row r="160" spans="1:19" x14ac:dyDescent="0.25">
      <c r="A160">
        <v>2010103005</v>
      </c>
      <c r="B160" t="s">
        <v>28</v>
      </c>
      <c r="C160" t="s">
        <v>29</v>
      </c>
      <c r="D160" t="s">
        <v>428</v>
      </c>
      <c r="E160" t="s">
        <v>429</v>
      </c>
      <c r="F160" t="e">
        <f>--ds-btn-soft-primary-hover-border</f>
        <v>#NAME?</v>
      </c>
      <c r="G160" t="s">
        <v>424</v>
      </c>
      <c r="H160" t="s">
        <v>424</v>
      </c>
      <c r="I160" t="s">
        <v>32</v>
      </c>
      <c r="J160" t="s">
        <v>24</v>
      </c>
      <c r="K160" t="s">
        <v>415</v>
      </c>
      <c r="L160" t="s">
        <v>25</v>
      </c>
      <c r="M160" t="s">
        <v>53</v>
      </c>
      <c r="N160" t="s">
        <v>416</v>
      </c>
      <c r="O160">
        <v>1</v>
      </c>
      <c r="P160">
        <v>1</v>
      </c>
      <c r="Q160">
        <v>0</v>
      </c>
      <c r="R160" s="1">
        <v>46177.862442129626</v>
      </c>
      <c r="S160" s="1">
        <v>46205.611666666664</v>
      </c>
    </row>
    <row r="161" spans="1:19" x14ac:dyDescent="0.25">
      <c r="A161">
        <v>2010103006</v>
      </c>
      <c r="B161" t="s">
        <v>28</v>
      </c>
      <c r="C161" t="s">
        <v>29</v>
      </c>
      <c r="D161" t="s">
        <v>430</v>
      </c>
      <c r="E161" t="s">
        <v>431</v>
      </c>
      <c r="F161" t="e">
        <f>--ds-btn-soft-primary-disabled-bg</f>
        <v>#NAME?</v>
      </c>
      <c r="G161" t="s">
        <v>432</v>
      </c>
      <c r="H161" t="s">
        <v>432</v>
      </c>
      <c r="I161" t="s">
        <v>32</v>
      </c>
      <c r="J161" t="s">
        <v>24</v>
      </c>
      <c r="K161" t="s">
        <v>415</v>
      </c>
      <c r="L161" t="s">
        <v>25</v>
      </c>
      <c r="M161" t="s">
        <v>57</v>
      </c>
      <c r="N161" t="s">
        <v>416</v>
      </c>
      <c r="O161">
        <v>1</v>
      </c>
      <c r="P161">
        <v>1</v>
      </c>
      <c r="Q161">
        <v>0</v>
      </c>
      <c r="R161" s="1">
        <v>46177.862442129626</v>
      </c>
      <c r="S161" s="1">
        <v>46205.611666666664</v>
      </c>
    </row>
    <row r="162" spans="1:19" x14ac:dyDescent="0.25">
      <c r="A162">
        <v>2010103007</v>
      </c>
      <c r="B162" t="s">
        <v>28</v>
      </c>
      <c r="C162" t="s">
        <v>29</v>
      </c>
      <c r="D162" t="s">
        <v>433</v>
      </c>
      <c r="E162" t="s">
        <v>434</v>
      </c>
      <c r="F162" t="e">
        <f>--ds-btn-soft-primary-disabled-text</f>
        <v>#NAME?</v>
      </c>
      <c r="G162" t="s">
        <v>60</v>
      </c>
      <c r="H162" t="s">
        <v>60</v>
      </c>
      <c r="I162" t="s">
        <v>32</v>
      </c>
      <c r="J162" t="s">
        <v>24</v>
      </c>
      <c r="K162" t="s">
        <v>415</v>
      </c>
      <c r="L162" t="s">
        <v>25</v>
      </c>
      <c r="M162" t="s">
        <v>61</v>
      </c>
      <c r="N162" t="s">
        <v>416</v>
      </c>
      <c r="O162">
        <v>1</v>
      </c>
      <c r="P162">
        <v>1</v>
      </c>
      <c r="Q162">
        <v>0</v>
      </c>
      <c r="R162" s="1">
        <v>46177.862442129626</v>
      </c>
      <c r="S162" s="1">
        <v>46205.611666666664</v>
      </c>
    </row>
    <row r="163" spans="1:19" x14ac:dyDescent="0.25">
      <c r="A163">
        <v>2010103008</v>
      </c>
      <c r="B163" t="s">
        <v>28</v>
      </c>
      <c r="C163" t="s">
        <v>29</v>
      </c>
      <c r="D163" t="s">
        <v>435</v>
      </c>
      <c r="E163" t="s">
        <v>436</v>
      </c>
      <c r="F163" t="e">
        <f>--ds-btn-soft-primary-disabled-border</f>
        <v>#NAME?</v>
      </c>
      <c r="G163" t="s">
        <v>432</v>
      </c>
      <c r="H163" t="s">
        <v>432</v>
      </c>
      <c r="I163" t="s">
        <v>32</v>
      </c>
      <c r="J163" t="s">
        <v>24</v>
      </c>
      <c r="K163" t="s">
        <v>415</v>
      </c>
      <c r="L163" t="s">
        <v>25</v>
      </c>
      <c r="M163" t="s">
        <v>65</v>
      </c>
      <c r="N163" t="s">
        <v>416</v>
      </c>
      <c r="O163">
        <v>1</v>
      </c>
      <c r="P163">
        <v>1</v>
      </c>
      <c r="Q163">
        <v>0</v>
      </c>
      <c r="R163" s="1">
        <v>46177.862442129626</v>
      </c>
      <c r="S163" s="1">
        <v>46205.611666666664</v>
      </c>
    </row>
    <row r="164" spans="1:19" x14ac:dyDescent="0.25">
      <c r="A164">
        <v>2010103100</v>
      </c>
      <c r="B164" t="s">
        <v>28</v>
      </c>
      <c r="C164" t="s">
        <v>29</v>
      </c>
      <c r="D164" t="s">
        <v>437</v>
      </c>
      <c r="E164" t="s">
        <v>438</v>
      </c>
      <c r="F164" t="e">
        <f>--ds-btn-soft-secondary-bg</f>
        <v>#NAME?</v>
      </c>
      <c r="G164" t="s">
        <v>432</v>
      </c>
      <c r="H164" t="s">
        <v>432</v>
      </c>
      <c r="I164" t="s">
        <v>32</v>
      </c>
      <c r="J164" t="s">
        <v>24</v>
      </c>
      <c r="K164" t="s">
        <v>415</v>
      </c>
      <c r="L164" t="s">
        <v>113</v>
      </c>
      <c r="M164" t="s">
        <v>26</v>
      </c>
      <c r="N164" t="s">
        <v>439</v>
      </c>
      <c r="O164">
        <v>1</v>
      </c>
      <c r="P164">
        <v>1</v>
      </c>
      <c r="Q164">
        <v>0</v>
      </c>
      <c r="R164" s="1">
        <v>46177.862442129626</v>
      </c>
      <c r="S164" s="1">
        <v>46205.611666666664</v>
      </c>
    </row>
    <row r="165" spans="1:19" x14ac:dyDescent="0.25">
      <c r="A165">
        <v>2010103101</v>
      </c>
      <c r="B165" t="s">
        <v>28</v>
      </c>
      <c r="C165" t="s">
        <v>29</v>
      </c>
      <c r="D165" t="s">
        <v>440</v>
      </c>
      <c r="E165" t="s">
        <v>441</v>
      </c>
      <c r="F165" t="e">
        <f>--ds-btn-soft-secondary-text</f>
        <v>#NAME?</v>
      </c>
      <c r="G165" t="s">
        <v>442</v>
      </c>
      <c r="H165" t="s">
        <v>442</v>
      </c>
      <c r="I165" t="s">
        <v>32</v>
      </c>
      <c r="J165" t="s">
        <v>24</v>
      </c>
      <c r="K165" t="s">
        <v>415</v>
      </c>
      <c r="L165" t="s">
        <v>113</v>
      </c>
      <c r="M165" t="s">
        <v>38</v>
      </c>
      <c r="N165" t="s">
        <v>439</v>
      </c>
      <c r="O165">
        <v>1</v>
      </c>
      <c r="P165">
        <v>1</v>
      </c>
      <c r="Q165">
        <v>0</v>
      </c>
      <c r="R165" s="1">
        <v>46177.862442129626</v>
      </c>
      <c r="S165" s="1">
        <v>46205.611666666664</v>
      </c>
    </row>
    <row r="166" spans="1:19" x14ac:dyDescent="0.25">
      <c r="A166">
        <v>2010103102</v>
      </c>
      <c r="B166" t="s">
        <v>28</v>
      </c>
      <c r="C166" t="s">
        <v>29</v>
      </c>
      <c r="D166" t="s">
        <v>443</v>
      </c>
      <c r="E166" t="s">
        <v>444</v>
      </c>
      <c r="F166" t="e">
        <f>--ds-btn-soft-secondary-border</f>
        <v>#NAME?</v>
      </c>
      <c r="G166" t="s">
        <v>432</v>
      </c>
      <c r="H166" t="s">
        <v>432</v>
      </c>
      <c r="I166" t="s">
        <v>32</v>
      </c>
      <c r="J166" t="s">
        <v>24</v>
      </c>
      <c r="K166" t="s">
        <v>415</v>
      </c>
      <c r="L166" t="s">
        <v>113</v>
      </c>
      <c r="M166" t="s">
        <v>42</v>
      </c>
      <c r="N166" t="s">
        <v>439</v>
      </c>
      <c r="O166">
        <v>1</v>
      </c>
      <c r="P166">
        <v>1</v>
      </c>
      <c r="Q166">
        <v>0</v>
      </c>
      <c r="R166" s="1">
        <v>46177.862442129626</v>
      </c>
      <c r="S166" s="1">
        <v>46205.611666666664</v>
      </c>
    </row>
    <row r="167" spans="1:19" x14ac:dyDescent="0.25">
      <c r="A167">
        <v>2010103103</v>
      </c>
      <c r="B167" t="s">
        <v>28</v>
      </c>
      <c r="C167" t="s">
        <v>29</v>
      </c>
      <c r="D167" t="s">
        <v>445</v>
      </c>
      <c r="E167" t="s">
        <v>446</v>
      </c>
      <c r="F167" t="e">
        <f>--ds-btn-soft-secondary-hover-bg</f>
        <v>#NAME?</v>
      </c>
      <c r="G167" t="s">
        <v>447</v>
      </c>
      <c r="H167" t="s">
        <v>447</v>
      </c>
      <c r="I167" t="s">
        <v>32</v>
      </c>
      <c r="J167" t="s">
        <v>24</v>
      </c>
      <c r="K167" t="s">
        <v>415</v>
      </c>
      <c r="L167" t="s">
        <v>113</v>
      </c>
      <c r="M167" t="s">
        <v>46</v>
      </c>
      <c r="N167" t="s">
        <v>439</v>
      </c>
      <c r="O167">
        <v>1</v>
      </c>
      <c r="P167">
        <v>1</v>
      </c>
      <c r="Q167">
        <v>0</v>
      </c>
      <c r="R167" s="1">
        <v>46177.862442129626</v>
      </c>
      <c r="S167" s="1">
        <v>46205.611666666664</v>
      </c>
    </row>
    <row r="168" spans="1:19" x14ac:dyDescent="0.25">
      <c r="A168">
        <v>2010103104</v>
      </c>
      <c r="B168" t="s">
        <v>28</v>
      </c>
      <c r="C168" t="s">
        <v>29</v>
      </c>
      <c r="D168" t="s">
        <v>448</v>
      </c>
      <c r="E168" t="s">
        <v>449</v>
      </c>
      <c r="F168" t="e">
        <f>--ds-btn-soft-secondary-hover-text</f>
        <v>#NAME?</v>
      </c>
      <c r="G168" t="s">
        <v>450</v>
      </c>
      <c r="H168" t="s">
        <v>450</v>
      </c>
      <c r="I168" t="s">
        <v>32</v>
      </c>
      <c r="J168" t="s">
        <v>24</v>
      </c>
      <c r="K168" t="s">
        <v>415</v>
      </c>
      <c r="L168" t="s">
        <v>113</v>
      </c>
      <c r="M168" t="s">
        <v>49</v>
      </c>
      <c r="N168" t="s">
        <v>439</v>
      </c>
      <c r="O168">
        <v>1</v>
      </c>
      <c r="P168">
        <v>1</v>
      </c>
      <c r="Q168">
        <v>0</v>
      </c>
      <c r="R168" s="1">
        <v>46177.862442129626</v>
      </c>
      <c r="S168" s="1">
        <v>46205.611666666664</v>
      </c>
    </row>
    <row r="169" spans="1:19" x14ac:dyDescent="0.25">
      <c r="A169">
        <v>2010103105</v>
      </c>
      <c r="B169" t="s">
        <v>28</v>
      </c>
      <c r="C169" t="s">
        <v>29</v>
      </c>
      <c r="D169" t="s">
        <v>451</v>
      </c>
      <c r="E169" t="s">
        <v>452</v>
      </c>
      <c r="F169" t="e">
        <f>--ds-btn-soft-secondary-hover-border</f>
        <v>#NAME?</v>
      </c>
      <c r="G169" t="s">
        <v>447</v>
      </c>
      <c r="H169" t="s">
        <v>447</v>
      </c>
      <c r="I169" t="s">
        <v>32</v>
      </c>
      <c r="J169" t="s">
        <v>24</v>
      </c>
      <c r="K169" t="s">
        <v>415</v>
      </c>
      <c r="L169" t="s">
        <v>113</v>
      </c>
      <c r="M169" t="s">
        <v>53</v>
      </c>
      <c r="N169" t="s">
        <v>439</v>
      </c>
      <c r="O169">
        <v>1</v>
      </c>
      <c r="P169">
        <v>1</v>
      </c>
      <c r="Q169">
        <v>0</v>
      </c>
      <c r="R169" s="1">
        <v>46177.862442129626</v>
      </c>
      <c r="S169" s="1">
        <v>46205.611666666664</v>
      </c>
    </row>
    <row r="170" spans="1:19" x14ac:dyDescent="0.25">
      <c r="A170">
        <v>2010103106</v>
      </c>
      <c r="B170" t="s">
        <v>28</v>
      </c>
      <c r="C170" t="s">
        <v>29</v>
      </c>
      <c r="D170" t="s">
        <v>453</v>
      </c>
      <c r="E170" t="s">
        <v>454</v>
      </c>
      <c r="F170" t="e">
        <f>--ds-btn-soft-secondary-disabled-bg</f>
        <v>#NAME?</v>
      </c>
      <c r="G170" t="s">
        <v>432</v>
      </c>
      <c r="H170" t="s">
        <v>432</v>
      </c>
      <c r="I170" t="s">
        <v>32</v>
      </c>
      <c r="J170" t="s">
        <v>24</v>
      </c>
      <c r="K170" t="s">
        <v>415</v>
      </c>
      <c r="L170" t="s">
        <v>113</v>
      </c>
      <c r="M170" t="s">
        <v>57</v>
      </c>
      <c r="N170" t="s">
        <v>439</v>
      </c>
      <c r="O170">
        <v>1</v>
      </c>
      <c r="P170">
        <v>1</v>
      </c>
      <c r="Q170">
        <v>0</v>
      </c>
      <c r="R170" s="1">
        <v>46177.862442129626</v>
      </c>
      <c r="S170" s="1">
        <v>46205.611666666664</v>
      </c>
    </row>
    <row r="171" spans="1:19" x14ac:dyDescent="0.25">
      <c r="A171">
        <v>2010103107</v>
      </c>
      <c r="B171" t="s">
        <v>28</v>
      </c>
      <c r="C171" t="s">
        <v>29</v>
      </c>
      <c r="D171" t="s">
        <v>455</v>
      </c>
      <c r="E171" t="s">
        <v>456</v>
      </c>
      <c r="F171" t="e">
        <f>--ds-btn-soft-secondary-disabled-text</f>
        <v>#NAME?</v>
      </c>
      <c r="G171" t="s">
        <v>60</v>
      </c>
      <c r="H171" t="s">
        <v>60</v>
      </c>
      <c r="I171" t="s">
        <v>32</v>
      </c>
      <c r="J171" t="s">
        <v>24</v>
      </c>
      <c r="K171" t="s">
        <v>415</v>
      </c>
      <c r="L171" t="s">
        <v>113</v>
      </c>
      <c r="M171" t="s">
        <v>61</v>
      </c>
      <c r="N171" t="s">
        <v>439</v>
      </c>
      <c r="O171">
        <v>1</v>
      </c>
      <c r="P171">
        <v>1</v>
      </c>
      <c r="Q171">
        <v>0</v>
      </c>
      <c r="R171" s="1">
        <v>46177.862442129626</v>
      </c>
      <c r="S171" s="1">
        <v>46205.611666666664</v>
      </c>
    </row>
    <row r="172" spans="1:19" x14ac:dyDescent="0.25">
      <c r="A172">
        <v>2010103108</v>
      </c>
      <c r="B172" t="s">
        <v>28</v>
      </c>
      <c r="C172" t="s">
        <v>29</v>
      </c>
      <c r="D172" t="s">
        <v>457</v>
      </c>
      <c r="E172" t="s">
        <v>458</v>
      </c>
      <c r="F172" t="e">
        <f>--ds-btn-soft-secondary-disabled-border</f>
        <v>#NAME?</v>
      </c>
      <c r="G172" t="s">
        <v>432</v>
      </c>
      <c r="H172" t="s">
        <v>432</v>
      </c>
      <c r="I172" t="s">
        <v>32</v>
      </c>
      <c r="J172" t="s">
        <v>24</v>
      </c>
      <c r="K172" t="s">
        <v>415</v>
      </c>
      <c r="L172" t="s">
        <v>113</v>
      </c>
      <c r="M172" t="s">
        <v>65</v>
      </c>
      <c r="N172" t="s">
        <v>439</v>
      </c>
      <c r="O172">
        <v>1</v>
      </c>
      <c r="P172">
        <v>1</v>
      </c>
      <c r="Q172">
        <v>0</v>
      </c>
      <c r="R172" s="1">
        <v>46177.862442129626</v>
      </c>
      <c r="S172" s="1">
        <v>46205.611666666664</v>
      </c>
    </row>
    <row r="173" spans="1:19" x14ac:dyDescent="0.25">
      <c r="A173">
        <v>2010103200</v>
      </c>
      <c r="B173" t="s">
        <v>28</v>
      </c>
      <c r="C173" t="s">
        <v>29</v>
      </c>
      <c r="D173" t="s">
        <v>459</v>
      </c>
      <c r="E173" t="s">
        <v>460</v>
      </c>
      <c r="F173" t="e">
        <f>--ds-btn-soft-success-bg</f>
        <v>#NAME?</v>
      </c>
      <c r="G173" t="s">
        <v>461</v>
      </c>
      <c r="H173" t="s">
        <v>461</v>
      </c>
      <c r="I173" t="s">
        <v>32</v>
      </c>
      <c r="J173" t="s">
        <v>24</v>
      </c>
      <c r="K173" t="s">
        <v>415</v>
      </c>
      <c r="L173" t="s">
        <v>139</v>
      </c>
      <c r="M173" t="s">
        <v>26</v>
      </c>
      <c r="N173" t="s">
        <v>462</v>
      </c>
      <c r="O173">
        <v>1</v>
      </c>
      <c r="P173">
        <v>1</v>
      </c>
      <c r="Q173">
        <v>0</v>
      </c>
      <c r="R173" s="1">
        <v>46177.862442129626</v>
      </c>
      <c r="S173" s="1">
        <v>46205.611666666664</v>
      </c>
    </row>
    <row r="174" spans="1:19" x14ac:dyDescent="0.25">
      <c r="A174">
        <v>2010103201</v>
      </c>
      <c r="B174" t="s">
        <v>28</v>
      </c>
      <c r="C174" t="s">
        <v>29</v>
      </c>
      <c r="D174" t="s">
        <v>463</v>
      </c>
      <c r="E174" t="s">
        <v>464</v>
      </c>
      <c r="F174" t="e">
        <f>--ds-btn-soft-success-text</f>
        <v>#NAME?</v>
      </c>
      <c r="G174" t="s">
        <v>465</v>
      </c>
      <c r="H174" t="s">
        <v>465</v>
      </c>
      <c r="I174" t="s">
        <v>32</v>
      </c>
      <c r="J174" t="s">
        <v>24</v>
      </c>
      <c r="K174" t="s">
        <v>415</v>
      </c>
      <c r="L174" t="s">
        <v>139</v>
      </c>
      <c r="M174" t="s">
        <v>38</v>
      </c>
      <c r="N174" t="s">
        <v>462</v>
      </c>
      <c r="O174">
        <v>1</v>
      </c>
      <c r="P174">
        <v>1</v>
      </c>
      <c r="Q174">
        <v>0</v>
      </c>
      <c r="R174" s="1">
        <v>46177.862442129626</v>
      </c>
      <c r="S174" s="1">
        <v>46205.611666666664</v>
      </c>
    </row>
    <row r="175" spans="1:19" x14ac:dyDescent="0.25">
      <c r="A175">
        <v>2010103202</v>
      </c>
      <c r="B175" t="s">
        <v>28</v>
      </c>
      <c r="C175" t="s">
        <v>29</v>
      </c>
      <c r="D175" t="s">
        <v>466</v>
      </c>
      <c r="E175" t="s">
        <v>467</v>
      </c>
      <c r="F175" t="e">
        <f>--ds-btn-soft-success-border</f>
        <v>#NAME?</v>
      </c>
      <c r="G175" t="s">
        <v>461</v>
      </c>
      <c r="H175" t="s">
        <v>461</v>
      </c>
      <c r="I175" t="s">
        <v>32</v>
      </c>
      <c r="J175" t="s">
        <v>24</v>
      </c>
      <c r="K175" t="s">
        <v>415</v>
      </c>
      <c r="L175" t="s">
        <v>139</v>
      </c>
      <c r="M175" t="s">
        <v>42</v>
      </c>
      <c r="N175" t="s">
        <v>462</v>
      </c>
      <c r="O175">
        <v>1</v>
      </c>
      <c r="P175">
        <v>1</v>
      </c>
      <c r="Q175">
        <v>0</v>
      </c>
      <c r="R175" s="1">
        <v>46177.862442129626</v>
      </c>
      <c r="S175" s="1">
        <v>46205.611666666664</v>
      </c>
    </row>
    <row r="176" spans="1:19" x14ac:dyDescent="0.25">
      <c r="A176">
        <v>2010103203</v>
      </c>
      <c r="B176" t="s">
        <v>28</v>
      </c>
      <c r="C176" t="s">
        <v>29</v>
      </c>
      <c r="D176" t="s">
        <v>468</v>
      </c>
      <c r="E176" t="s">
        <v>469</v>
      </c>
      <c r="F176" t="e">
        <f>--ds-btn-soft-success-hover-bg</f>
        <v>#NAME?</v>
      </c>
      <c r="G176" t="s">
        <v>470</v>
      </c>
      <c r="H176" t="s">
        <v>470</v>
      </c>
      <c r="I176" t="s">
        <v>32</v>
      </c>
      <c r="J176" t="s">
        <v>24</v>
      </c>
      <c r="K176" t="s">
        <v>415</v>
      </c>
      <c r="L176" t="s">
        <v>139</v>
      </c>
      <c r="M176" t="s">
        <v>46</v>
      </c>
      <c r="N176" t="s">
        <v>462</v>
      </c>
      <c r="O176">
        <v>1</v>
      </c>
      <c r="P176">
        <v>1</v>
      </c>
      <c r="Q176">
        <v>0</v>
      </c>
      <c r="R176" s="1">
        <v>46177.862442129626</v>
      </c>
      <c r="S176" s="1">
        <v>46205.611666666664</v>
      </c>
    </row>
    <row r="177" spans="1:19" x14ac:dyDescent="0.25">
      <c r="A177">
        <v>2010103204</v>
      </c>
      <c r="B177" t="s">
        <v>28</v>
      </c>
      <c r="C177" t="s">
        <v>29</v>
      </c>
      <c r="D177" t="s">
        <v>471</v>
      </c>
      <c r="E177" t="s">
        <v>472</v>
      </c>
      <c r="F177" t="e">
        <f>--ds-btn-soft-success-hover-text</f>
        <v>#NAME?</v>
      </c>
      <c r="G177" t="s">
        <v>473</v>
      </c>
      <c r="H177" t="s">
        <v>473</v>
      </c>
      <c r="I177" t="s">
        <v>32</v>
      </c>
      <c r="J177" t="s">
        <v>24</v>
      </c>
      <c r="K177" t="s">
        <v>415</v>
      </c>
      <c r="L177" t="s">
        <v>139</v>
      </c>
      <c r="M177" t="s">
        <v>49</v>
      </c>
      <c r="N177" t="s">
        <v>462</v>
      </c>
      <c r="O177">
        <v>1</v>
      </c>
      <c r="P177">
        <v>1</v>
      </c>
      <c r="Q177">
        <v>0</v>
      </c>
      <c r="R177" s="1">
        <v>46177.862442129626</v>
      </c>
      <c r="S177" s="1">
        <v>46205.611666666664</v>
      </c>
    </row>
    <row r="178" spans="1:19" x14ac:dyDescent="0.25">
      <c r="A178">
        <v>2010103205</v>
      </c>
      <c r="B178" t="s">
        <v>28</v>
      </c>
      <c r="C178" t="s">
        <v>29</v>
      </c>
      <c r="D178" t="s">
        <v>474</v>
      </c>
      <c r="E178" t="s">
        <v>475</v>
      </c>
      <c r="F178" t="e">
        <f>--ds-btn-soft-success-hover-border</f>
        <v>#NAME?</v>
      </c>
      <c r="G178" t="s">
        <v>470</v>
      </c>
      <c r="H178" t="s">
        <v>470</v>
      </c>
      <c r="I178" t="s">
        <v>32</v>
      </c>
      <c r="J178" t="s">
        <v>24</v>
      </c>
      <c r="K178" t="s">
        <v>415</v>
      </c>
      <c r="L178" t="s">
        <v>139</v>
      </c>
      <c r="M178" t="s">
        <v>53</v>
      </c>
      <c r="N178" t="s">
        <v>462</v>
      </c>
      <c r="O178">
        <v>1</v>
      </c>
      <c r="P178">
        <v>1</v>
      </c>
      <c r="Q178">
        <v>0</v>
      </c>
      <c r="R178" s="1">
        <v>46177.862442129626</v>
      </c>
      <c r="S178" s="1">
        <v>46205.611666666664</v>
      </c>
    </row>
    <row r="179" spans="1:19" x14ac:dyDescent="0.25">
      <c r="A179">
        <v>2010103206</v>
      </c>
      <c r="B179" t="s">
        <v>28</v>
      </c>
      <c r="C179" t="s">
        <v>29</v>
      </c>
      <c r="D179" t="s">
        <v>476</v>
      </c>
      <c r="E179" t="s">
        <v>477</v>
      </c>
      <c r="F179" t="e">
        <f>--ds-btn-soft-success-disabled-bg</f>
        <v>#NAME?</v>
      </c>
      <c r="G179" t="s">
        <v>432</v>
      </c>
      <c r="H179" t="s">
        <v>432</v>
      </c>
      <c r="I179" t="s">
        <v>32</v>
      </c>
      <c r="J179" t="s">
        <v>24</v>
      </c>
      <c r="K179" t="s">
        <v>415</v>
      </c>
      <c r="L179" t="s">
        <v>139</v>
      </c>
      <c r="M179" t="s">
        <v>57</v>
      </c>
      <c r="N179" t="s">
        <v>462</v>
      </c>
      <c r="O179">
        <v>1</v>
      </c>
      <c r="P179">
        <v>1</v>
      </c>
      <c r="Q179">
        <v>0</v>
      </c>
      <c r="R179" s="1">
        <v>46177.862442129626</v>
      </c>
      <c r="S179" s="1">
        <v>46205.611666666664</v>
      </c>
    </row>
    <row r="180" spans="1:19" x14ac:dyDescent="0.25">
      <c r="A180">
        <v>2010103207</v>
      </c>
      <c r="B180" t="s">
        <v>28</v>
      </c>
      <c r="C180" t="s">
        <v>29</v>
      </c>
      <c r="D180" t="s">
        <v>478</v>
      </c>
      <c r="E180" t="s">
        <v>479</v>
      </c>
      <c r="F180" t="e">
        <f>--ds-btn-soft-success-disabled-text</f>
        <v>#NAME?</v>
      </c>
      <c r="G180" t="s">
        <v>60</v>
      </c>
      <c r="H180" t="s">
        <v>60</v>
      </c>
      <c r="I180" t="s">
        <v>32</v>
      </c>
      <c r="J180" t="s">
        <v>24</v>
      </c>
      <c r="K180" t="s">
        <v>415</v>
      </c>
      <c r="L180" t="s">
        <v>139</v>
      </c>
      <c r="M180" t="s">
        <v>61</v>
      </c>
      <c r="N180" t="s">
        <v>462</v>
      </c>
      <c r="O180">
        <v>1</v>
      </c>
      <c r="P180">
        <v>1</v>
      </c>
      <c r="Q180">
        <v>0</v>
      </c>
      <c r="R180" s="1">
        <v>46177.862442129626</v>
      </c>
      <c r="S180" s="1">
        <v>46205.611666666664</v>
      </c>
    </row>
    <row r="181" spans="1:19" x14ac:dyDescent="0.25">
      <c r="A181">
        <v>2010103208</v>
      </c>
      <c r="B181" t="s">
        <v>28</v>
      </c>
      <c r="C181" t="s">
        <v>29</v>
      </c>
      <c r="D181" t="s">
        <v>480</v>
      </c>
      <c r="E181" t="s">
        <v>481</v>
      </c>
      <c r="F181" t="e">
        <f>--ds-btn-soft-success-disabled-border</f>
        <v>#NAME?</v>
      </c>
      <c r="G181" t="s">
        <v>432</v>
      </c>
      <c r="H181" t="s">
        <v>432</v>
      </c>
      <c r="I181" t="s">
        <v>32</v>
      </c>
      <c r="J181" t="s">
        <v>24</v>
      </c>
      <c r="K181" t="s">
        <v>415</v>
      </c>
      <c r="L181" t="s">
        <v>139</v>
      </c>
      <c r="M181" t="s">
        <v>65</v>
      </c>
      <c r="N181" t="s">
        <v>462</v>
      </c>
      <c r="O181">
        <v>1</v>
      </c>
      <c r="P181">
        <v>1</v>
      </c>
      <c r="Q181">
        <v>0</v>
      </c>
      <c r="R181" s="1">
        <v>46177.862442129626</v>
      </c>
      <c r="S181" s="1">
        <v>46205.611666666664</v>
      </c>
    </row>
    <row r="182" spans="1:19" x14ac:dyDescent="0.25">
      <c r="A182">
        <v>2010103300</v>
      </c>
      <c r="B182" t="s">
        <v>28</v>
      </c>
      <c r="C182" t="s">
        <v>29</v>
      </c>
      <c r="D182" t="s">
        <v>482</v>
      </c>
      <c r="E182" t="s">
        <v>483</v>
      </c>
      <c r="F182" t="e">
        <f>--ds-btn-soft-danger-bg</f>
        <v>#NAME?</v>
      </c>
      <c r="G182" t="s">
        <v>484</v>
      </c>
      <c r="H182" t="s">
        <v>484</v>
      </c>
      <c r="I182" t="s">
        <v>32</v>
      </c>
      <c r="J182" t="s">
        <v>24</v>
      </c>
      <c r="K182" t="s">
        <v>415</v>
      </c>
      <c r="L182" t="s">
        <v>161</v>
      </c>
      <c r="M182" t="s">
        <v>26</v>
      </c>
      <c r="N182" t="s">
        <v>485</v>
      </c>
      <c r="O182">
        <v>1</v>
      </c>
      <c r="P182">
        <v>1</v>
      </c>
      <c r="Q182">
        <v>0</v>
      </c>
      <c r="R182" s="1">
        <v>46177.862442129626</v>
      </c>
      <c r="S182" s="1">
        <v>46205.611666666664</v>
      </c>
    </row>
    <row r="183" spans="1:19" x14ac:dyDescent="0.25">
      <c r="A183">
        <v>2010103301</v>
      </c>
      <c r="B183" t="s">
        <v>28</v>
      </c>
      <c r="C183" t="s">
        <v>29</v>
      </c>
      <c r="D183" t="s">
        <v>486</v>
      </c>
      <c r="E183" t="s">
        <v>487</v>
      </c>
      <c r="F183" t="e">
        <f>--ds-btn-soft-danger-text</f>
        <v>#NAME?</v>
      </c>
      <c r="G183" t="s">
        <v>488</v>
      </c>
      <c r="H183" t="s">
        <v>488</v>
      </c>
      <c r="I183" t="s">
        <v>32</v>
      </c>
      <c r="J183" t="s">
        <v>24</v>
      </c>
      <c r="K183" t="s">
        <v>415</v>
      </c>
      <c r="L183" t="s">
        <v>161</v>
      </c>
      <c r="M183" t="s">
        <v>38</v>
      </c>
      <c r="N183" t="s">
        <v>485</v>
      </c>
      <c r="O183">
        <v>1</v>
      </c>
      <c r="P183">
        <v>1</v>
      </c>
      <c r="Q183">
        <v>0</v>
      </c>
      <c r="R183" s="1">
        <v>46177.862442129626</v>
      </c>
      <c r="S183" s="1">
        <v>46205.611666666664</v>
      </c>
    </row>
    <row r="184" spans="1:19" x14ac:dyDescent="0.25">
      <c r="A184">
        <v>2010103302</v>
      </c>
      <c r="B184" t="s">
        <v>28</v>
      </c>
      <c r="C184" t="s">
        <v>29</v>
      </c>
      <c r="D184" t="s">
        <v>489</v>
      </c>
      <c r="E184" t="s">
        <v>490</v>
      </c>
      <c r="F184" t="e">
        <f>--ds-btn-soft-danger-border</f>
        <v>#NAME?</v>
      </c>
      <c r="G184" t="s">
        <v>484</v>
      </c>
      <c r="H184" t="s">
        <v>484</v>
      </c>
      <c r="I184" t="s">
        <v>32</v>
      </c>
      <c r="J184" t="s">
        <v>24</v>
      </c>
      <c r="K184" t="s">
        <v>415</v>
      </c>
      <c r="L184" t="s">
        <v>161</v>
      </c>
      <c r="M184" t="s">
        <v>42</v>
      </c>
      <c r="N184" t="s">
        <v>485</v>
      </c>
      <c r="O184">
        <v>1</v>
      </c>
      <c r="P184">
        <v>1</v>
      </c>
      <c r="Q184">
        <v>0</v>
      </c>
      <c r="R184" s="1">
        <v>46177.862442129626</v>
      </c>
      <c r="S184" s="1">
        <v>46205.611666666664</v>
      </c>
    </row>
    <row r="185" spans="1:19" x14ac:dyDescent="0.25">
      <c r="A185">
        <v>2010103303</v>
      </c>
      <c r="B185" t="s">
        <v>28</v>
      </c>
      <c r="C185" t="s">
        <v>29</v>
      </c>
      <c r="D185" t="s">
        <v>491</v>
      </c>
      <c r="E185" t="s">
        <v>492</v>
      </c>
      <c r="F185" t="e">
        <f>--ds-btn-soft-danger-hover-bg</f>
        <v>#NAME?</v>
      </c>
      <c r="G185" t="s">
        <v>493</v>
      </c>
      <c r="H185" t="s">
        <v>493</v>
      </c>
      <c r="I185" t="s">
        <v>32</v>
      </c>
      <c r="J185" t="s">
        <v>24</v>
      </c>
      <c r="K185" t="s">
        <v>415</v>
      </c>
      <c r="L185" t="s">
        <v>161</v>
      </c>
      <c r="M185" t="s">
        <v>46</v>
      </c>
      <c r="N185" t="s">
        <v>485</v>
      </c>
      <c r="O185">
        <v>1</v>
      </c>
      <c r="P185">
        <v>1</v>
      </c>
      <c r="Q185">
        <v>0</v>
      </c>
      <c r="R185" s="1">
        <v>46177.862442129626</v>
      </c>
      <c r="S185" s="1">
        <v>46205.611666666664</v>
      </c>
    </row>
    <row r="186" spans="1:19" x14ac:dyDescent="0.25">
      <c r="A186">
        <v>2010103304</v>
      </c>
      <c r="B186" t="s">
        <v>28</v>
      </c>
      <c r="C186" t="s">
        <v>29</v>
      </c>
      <c r="D186" t="s">
        <v>494</v>
      </c>
      <c r="E186" t="s">
        <v>495</v>
      </c>
      <c r="F186" t="e">
        <f>--ds-btn-soft-danger-hover-text</f>
        <v>#NAME?</v>
      </c>
      <c r="G186" t="s">
        <v>496</v>
      </c>
      <c r="H186" t="s">
        <v>496</v>
      </c>
      <c r="I186" t="s">
        <v>32</v>
      </c>
      <c r="J186" t="s">
        <v>24</v>
      </c>
      <c r="K186" t="s">
        <v>415</v>
      </c>
      <c r="L186" t="s">
        <v>161</v>
      </c>
      <c r="M186" t="s">
        <v>49</v>
      </c>
      <c r="N186" t="s">
        <v>485</v>
      </c>
      <c r="O186">
        <v>1</v>
      </c>
      <c r="P186">
        <v>1</v>
      </c>
      <c r="Q186">
        <v>0</v>
      </c>
      <c r="R186" s="1">
        <v>46177.862442129626</v>
      </c>
      <c r="S186" s="1">
        <v>46205.611666666664</v>
      </c>
    </row>
    <row r="187" spans="1:19" x14ac:dyDescent="0.25">
      <c r="A187">
        <v>2010103305</v>
      </c>
      <c r="B187" t="s">
        <v>28</v>
      </c>
      <c r="C187" t="s">
        <v>29</v>
      </c>
      <c r="D187" t="s">
        <v>497</v>
      </c>
      <c r="E187" t="s">
        <v>498</v>
      </c>
      <c r="F187" t="e">
        <f>--ds-btn-soft-danger-hover-border</f>
        <v>#NAME?</v>
      </c>
      <c r="G187" t="s">
        <v>493</v>
      </c>
      <c r="H187" t="s">
        <v>493</v>
      </c>
      <c r="I187" t="s">
        <v>32</v>
      </c>
      <c r="J187" t="s">
        <v>24</v>
      </c>
      <c r="K187" t="s">
        <v>415</v>
      </c>
      <c r="L187" t="s">
        <v>161</v>
      </c>
      <c r="M187" t="s">
        <v>53</v>
      </c>
      <c r="N187" t="s">
        <v>485</v>
      </c>
      <c r="O187">
        <v>1</v>
      </c>
      <c r="P187">
        <v>1</v>
      </c>
      <c r="Q187">
        <v>0</v>
      </c>
      <c r="R187" s="1">
        <v>46177.862442129626</v>
      </c>
      <c r="S187" s="1">
        <v>46205.611666666664</v>
      </c>
    </row>
    <row r="188" spans="1:19" x14ac:dyDescent="0.25">
      <c r="A188">
        <v>2010103306</v>
      </c>
      <c r="B188" t="s">
        <v>28</v>
      </c>
      <c r="C188" t="s">
        <v>29</v>
      </c>
      <c r="D188" t="s">
        <v>499</v>
      </c>
      <c r="E188" t="s">
        <v>500</v>
      </c>
      <c r="F188" t="e">
        <f>--ds-btn-soft-danger-disabled-bg</f>
        <v>#NAME?</v>
      </c>
      <c r="G188" t="s">
        <v>432</v>
      </c>
      <c r="H188" t="s">
        <v>432</v>
      </c>
      <c r="I188" t="s">
        <v>32</v>
      </c>
      <c r="J188" t="s">
        <v>24</v>
      </c>
      <c r="K188" t="s">
        <v>415</v>
      </c>
      <c r="L188" t="s">
        <v>161</v>
      </c>
      <c r="M188" t="s">
        <v>57</v>
      </c>
      <c r="N188" t="s">
        <v>485</v>
      </c>
      <c r="O188">
        <v>1</v>
      </c>
      <c r="P188">
        <v>1</v>
      </c>
      <c r="Q188">
        <v>0</v>
      </c>
      <c r="R188" s="1">
        <v>46177.862442129626</v>
      </c>
      <c r="S188" s="1">
        <v>46205.611666666664</v>
      </c>
    </row>
    <row r="189" spans="1:19" x14ac:dyDescent="0.25">
      <c r="A189">
        <v>2010103307</v>
      </c>
      <c r="B189" t="s">
        <v>28</v>
      </c>
      <c r="C189" t="s">
        <v>29</v>
      </c>
      <c r="D189" t="s">
        <v>501</v>
      </c>
      <c r="E189" t="s">
        <v>502</v>
      </c>
      <c r="F189" t="e">
        <f>--ds-btn-soft-danger-disabled-text</f>
        <v>#NAME?</v>
      </c>
      <c r="G189" t="s">
        <v>60</v>
      </c>
      <c r="H189" t="s">
        <v>60</v>
      </c>
      <c r="I189" t="s">
        <v>32</v>
      </c>
      <c r="J189" t="s">
        <v>24</v>
      </c>
      <c r="K189" t="s">
        <v>415</v>
      </c>
      <c r="L189" t="s">
        <v>161</v>
      </c>
      <c r="M189" t="s">
        <v>61</v>
      </c>
      <c r="N189" t="s">
        <v>485</v>
      </c>
      <c r="O189">
        <v>1</v>
      </c>
      <c r="P189">
        <v>1</v>
      </c>
      <c r="Q189">
        <v>0</v>
      </c>
      <c r="R189" s="1">
        <v>46177.862442129626</v>
      </c>
      <c r="S189" s="1">
        <v>46205.611666666664</v>
      </c>
    </row>
    <row r="190" spans="1:19" x14ac:dyDescent="0.25">
      <c r="A190">
        <v>2010103308</v>
      </c>
      <c r="B190" t="s">
        <v>28</v>
      </c>
      <c r="C190" t="s">
        <v>29</v>
      </c>
      <c r="D190" t="s">
        <v>503</v>
      </c>
      <c r="E190" t="s">
        <v>504</v>
      </c>
      <c r="F190" t="e">
        <f>--ds-btn-soft-danger-disabled-border</f>
        <v>#NAME?</v>
      </c>
      <c r="G190" t="s">
        <v>432</v>
      </c>
      <c r="H190" t="s">
        <v>432</v>
      </c>
      <c r="I190" t="s">
        <v>32</v>
      </c>
      <c r="J190" t="s">
        <v>24</v>
      </c>
      <c r="K190" t="s">
        <v>415</v>
      </c>
      <c r="L190" t="s">
        <v>161</v>
      </c>
      <c r="M190" t="s">
        <v>65</v>
      </c>
      <c r="N190" t="s">
        <v>485</v>
      </c>
      <c r="O190">
        <v>1</v>
      </c>
      <c r="P190">
        <v>1</v>
      </c>
      <c r="Q190">
        <v>0</v>
      </c>
      <c r="R190" s="1">
        <v>46177.862442129626</v>
      </c>
      <c r="S190" s="1">
        <v>46205.611666666664</v>
      </c>
    </row>
    <row r="191" spans="1:19" x14ac:dyDescent="0.25">
      <c r="A191">
        <v>2010103400</v>
      </c>
      <c r="B191" t="s">
        <v>28</v>
      </c>
      <c r="C191" t="s">
        <v>29</v>
      </c>
      <c r="D191" t="s">
        <v>505</v>
      </c>
      <c r="E191" t="s">
        <v>506</v>
      </c>
      <c r="F191" t="e">
        <f>--ds-btn-soft-warning-bg</f>
        <v>#NAME?</v>
      </c>
      <c r="G191" t="s">
        <v>507</v>
      </c>
      <c r="H191" t="s">
        <v>507</v>
      </c>
      <c r="I191" t="s">
        <v>32</v>
      </c>
      <c r="J191" t="s">
        <v>24</v>
      </c>
      <c r="K191" t="s">
        <v>415</v>
      </c>
      <c r="L191" t="s">
        <v>183</v>
      </c>
      <c r="M191" t="s">
        <v>26</v>
      </c>
      <c r="N191" t="s">
        <v>508</v>
      </c>
      <c r="O191">
        <v>1</v>
      </c>
      <c r="P191">
        <v>1</v>
      </c>
      <c r="Q191">
        <v>0</v>
      </c>
      <c r="R191" s="1">
        <v>46177.862442129626</v>
      </c>
      <c r="S191" s="1">
        <v>46205.611666666664</v>
      </c>
    </row>
    <row r="192" spans="1:19" x14ac:dyDescent="0.25">
      <c r="A192">
        <v>2010103401</v>
      </c>
      <c r="B192" t="s">
        <v>28</v>
      </c>
      <c r="C192" t="s">
        <v>29</v>
      </c>
      <c r="D192" t="s">
        <v>509</v>
      </c>
      <c r="E192" t="s">
        <v>510</v>
      </c>
      <c r="F192" t="e">
        <f>--ds-btn-soft-warning-text</f>
        <v>#NAME?</v>
      </c>
      <c r="G192" t="s">
        <v>511</v>
      </c>
      <c r="H192" t="s">
        <v>511</v>
      </c>
      <c r="I192" t="s">
        <v>32</v>
      </c>
      <c r="J192" t="s">
        <v>24</v>
      </c>
      <c r="K192" t="s">
        <v>415</v>
      </c>
      <c r="L192" t="s">
        <v>183</v>
      </c>
      <c r="M192" t="s">
        <v>38</v>
      </c>
      <c r="N192" t="s">
        <v>508</v>
      </c>
      <c r="O192">
        <v>1</v>
      </c>
      <c r="P192">
        <v>1</v>
      </c>
      <c r="Q192">
        <v>0</v>
      </c>
      <c r="R192" s="1">
        <v>46177.862442129626</v>
      </c>
      <c r="S192" s="1">
        <v>46205.611666666664</v>
      </c>
    </row>
    <row r="193" spans="1:19" x14ac:dyDescent="0.25">
      <c r="A193">
        <v>2010103402</v>
      </c>
      <c r="B193" t="s">
        <v>28</v>
      </c>
      <c r="C193" t="s">
        <v>29</v>
      </c>
      <c r="D193" t="s">
        <v>512</v>
      </c>
      <c r="E193" t="s">
        <v>513</v>
      </c>
      <c r="F193" t="e">
        <f>--ds-btn-soft-warning-border</f>
        <v>#NAME?</v>
      </c>
      <c r="G193" t="s">
        <v>507</v>
      </c>
      <c r="H193" t="s">
        <v>507</v>
      </c>
      <c r="I193" t="s">
        <v>32</v>
      </c>
      <c r="J193" t="s">
        <v>24</v>
      </c>
      <c r="K193" t="s">
        <v>415</v>
      </c>
      <c r="L193" t="s">
        <v>183</v>
      </c>
      <c r="M193" t="s">
        <v>42</v>
      </c>
      <c r="N193" t="s">
        <v>508</v>
      </c>
      <c r="O193">
        <v>1</v>
      </c>
      <c r="P193">
        <v>1</v>
      </c>
      <c r="Q193">
        <v>0</v>
      </c>
      <c r="R193" s="1">
        <v>46177.862442129626</v>
      </c>
      <c r="S193" s="1">
        <v>46205.611666666664</v>
      </c>
    </row>
    <row r="194" spans="1:19" x14ac:dyDescent="0.25">
      <c r="A194">
        <v>2010103403</v>
      </c>
      <c r="B194" t="s">
        <v>28</v>
      </c>
      <c r="C194" t="s">
        <v>29</v>
      </c>
      <c r="D194" t="s">
        <v>514</v>
      </c>
      <c r="E194" t="s">
        <v>515</v>
      </c>
      <c r="F194" t="e">
        <f>--ds-btn-soft-warning-hover-bg</f>
        <v>#NAME?</v>
      </c>
      <c r="G194" t="s">
        <v>516</v>
      </c>
      <c r="H194" t="s">
        <v>516</v>
      </c>
      <c r="I194" t="s">
        <v>32</v>
      </c>
      <c r="J194" t="s">
        <v>24</v>
      </c>
      <c r="K194" t="s">
        <v>415</v>
      </c>
      <c r="L194" t="s">
        <v>183</v>
      </c>
      <c r="M194" t="s">
        <v>46</v>
      </c>
      <c r="N194" t="s">
        <v>508</v>
      </c>
      <c r="O194">
        <v>1</v>
      </c>
      <c r="P194">
        <v>1</v>
      </c>
      <c r="Q194">
        <v>0</v>
      </c>
      <c r="R194" s="1">
        <v>46177.862442129626</v>
      </c>
      <c r="S194" s="1">
        <v>46205.611666666664</v>
      </c>
    </row>
    <row r="195" spans="1:19" x14ac:dyDescent="0.25">
      <c r="A195">
        <v>2010103404</v>
      </c>
      <c r="B195" t="s">
        <v>28</v>
      </c>
      <c r="C195" t="s">
        <v>29</v>
      </c>
      <c r="D195" t="s">
        <v>517</v>
      </c>
      <c r="E195" t="s">
        <v>518</v>
      </c>
      <c r="F195" t="e">
        <f>--ds-btn-soft-warning-hover-text</f>
        <v>#NAME?</v>
      </c>
      <c r="G195" t="s">
        <v>519</v>
      </c>
      <c r="H195" t="s">
        <v>519</v>
      </c>
      <c r="I195" t="s">
        <v>32</v>
      </c>
      <c r="J195" t="s">
        <v>24</v>
      </c>
      <c r="K195" t="s">
        <v>415</v>
      </c>
      <c r="L195" t="s">
        <v>183</v>
      </c>
      <c r="M195" t="s">
        <v>49</v>
      </c>
      <c r="N195" t="s">
        <v>508</v>
      </c>
      <c r="O195">
        <v>1</v>
      </c>
      <c r="P195">
        <v>1</v>
      </c>
      <c r="Q195">
        <v>0</v>
      </c>
      <c r="R195" s="1">
        <v>46177.862442129626</v>
      </c>
      <c r="S195" s="1">
        <v>46205.611666666664</v>
      </c>
    </row>
    <row r="196" spans="1:19" x14ac:dyDescent="0.25">
      <c r="A196">
        <v>2010103405</v>
      </c>
      <c r="B196" t="s">
        <v>28</v>
      </c>
      <c r="C196" t="s">
        <v>29</v>
      </c>
      <c r="D196" t="s">
        <v>520</v>
      </c>
      <c r="E196" t="s">
        <v>521</v>
      </c>
      <c r="F196" t="e">
        <f>--ds-btn-soft-warning-hover-border</f>
        <v>#NAME?</v>
      </c>
      <c r="G196" t="s">
        <v>516</v>
      </c>
      <c r="H196" t="s">
        <v>516</v>
      </c>
      <c r="I196" t="s">
        <v>32</v>
      </c>
      <c r="J196" t="s">
        <v>24</v>
      </c>
      <c r="K196" t="s">
        <v>415</v>
      </c>
      <c r="L196" t="s">
        <v>183</v>
      </c>
      <c r="M196" t="s">
        <v>53</v>
      </c>
      <c r="N196" t="s">
        <v>508</v>
      </c>
      <c r="O196">
        <v>1</v>
      </c>
      <c r="P196">
        <v>1</v>
      </c>
      <c r="Q196">
        <v>0</v>
      </c>
      <c r="R196" s="1">
        <v>46177.862442129626</v>
      </c>
      <c r="S196" s="1">
        <v>46205.611666666664</v>
      </c>
    </row>
    <row r="197" spans="1:19" x14ac:dyDescent="0.25">
      <c r="A197">
        <v>2010103406</v>
      </c>
      <c r="B197" t="s">
        <v>28</v>
      </c>
      <c r="C197" t="s">
        <v>29</v>
      </c>
      <c r="D197" t="s">
        <v>522</v>
      </c>
      <c r="E197" t="s">
        <v>523</v>
      </c>
      <c r="F197" t="e">
        <f>--ds-btn-soft-warning-disabled-bg</f>
        <v>#NAME?</v>
      </c>
      <c r="G197" t="s">
        <v>432</v>
      </c>
      <c r="H197" t="s">
        <v>432</v>
      </c>
      <c r="I197" t="s">
        <v>32</v>
      </c>
      <c r="J197" t="s">
        <v>24</v>
      </c>
      <c r="K197" t="s">
        <v>415</v>
      </c>
      <c r="L197" t="s">
        <v>183</v>
      </c>
      <c r="M197" t="s">
        <v>57</v>
      </c>
      <c r="N197" t="s">
        <v>508</v>
      </c>
      <c r="O197">
        <v>1</v>
      </c>
      <c r="P197">
        <v>1</v>
      </c>
      <c r="Q197">
        <v>0</v>
      </c>
      <c r="R197" s="1">
        <v>46177.862442129626</v>
      </c>
      <c r="S197" s="1">
        <v>46205.611666666664</v>
      </c>
    </row>
    <row r="198" spans="1:19" x14ac:dyDescent="0.25">
      <c r="A198">
        <v>2010103407</v>
      </c>
      <c r="B198" t="s">
        <v>28</v>
      </c>
      <c r="C198" t="s">
        <v>29</v>
      </c>
      <c r="D198" t="s">
        <v>524</v>
      </c>
      <c r="E198" t="s">
        <v>525</v>
      </c>
      <c r="F198" t="e">
        <f>--ds-btn-soft-warning-disabled-text</f>
        <v>#NAME?</v>
      </c>
      <c r="G198" t="s">
        <v>60</v>
      </c>
      <c r="H198" t="s">
        <v>60</v>
      </c>
      <c r="I198" t="s">
        <v>32</v>
      </c>
      <c r="J198" t="s">
        <v>24</v>
      </c>
      <c r="K198" t="s">
        <v>415</v>
      </c>
      <c r="L198" t="s">
        <v>183</v>
      </c>
      <c r="M198" t="s">
        <v>61</v>
      </c>
      <c r="N198" t="s">
        <v>508</v>
      </c>
      <c r="O198">
        <v>1</v>
      </c>
      <c r="P198">
        <v>1</v>
      </c>
      <c r="Q198">
        <v>0</v>
      </c>
      <c r="R198" s="1">
        <v>46177.862442129626</v>
      </c>
      <c r="S198" s="1">
        <v>46205.611666666664</v>
      </c>
    </row>
    <row r="199" spans="1:19" x14ac:dyDescent="0.25">
      <c r="A199">
        <v>2010103408</v>
      </c>
      <c r="B199" t="s">
        <v>28</v>
      </c>
      <c r="C199" t="s">
        <v>29</v>
      </c>
      <c r="D199" t="s">
        <v>526</v>
      </c>
      <c r="E199" t="s">
        <v>527</v>
      </c>
      <c r="F199" t="e">
        <f>--ds-btn-soft-warning-disabled-border</f>
        <v>#NAME?</v>
      </c>
      <c r="G199" t="s">
        <v>432</v>
      </c>
      <c r="H199" t="s">
        <v>432</v>
      </c>
      <c r="I199" t="s">
        <v>32</v>
      </c>
      <c r="J199" t="s">
        <v>24</v>
      </c>
      <c r="K199" t="s">
        <v>415</v>
      </c>
      <c r="L199" t="s">
        <v>183</v>
      </c>
      <c r="M199" t="s">
        <v>65</v>
      </c>
      <c r="N199" t="s">
        <v>508</v>
      </c>
      <c r="O199">
        <v>1</v>
      </c>
      <c r="P199">
        <v>1</v>
      </c>
      <c r="Q199">
        <v>0</v>
      </c>
      <c r="R199" s="1">
        <v>46177.862442129626</v>
      </c>
      <c r="S199" s="1">
        <v>46205.611666666664</v>
      </c>
    </row>
    <row r="200" spans="1:19" x14ac:dyDescent="0.25">
      <c r="A200">
        <v>2010103500</v>
      </c>
      <c r="B200" t="s">
        <v>28</v>
      </c>
      <c r="C200" t="s">
        <v>29</v>
      </c>
      <c r="D200" t="s">
        <v>528</v>
      </c>
      <c r="E200" t="s">
        <v>529</v>
      </c>
      <c r="F200" t="e">
        <f>--ds-btn-soft-info-bg</f>
        <v>#NAME?</v>
      </c>
      <c r="G200" t="s">
        <v>530</v>
      </c>
      <c r="H200" t="s">
        <v>530</v>
      </c>
      <c r="I200" t="s">
        <v>32</v>
      </c>
      <c r="J200" t="s">
        <v>24</v>
      </c>
      <c r="K200" t="s">
        <v>415</v>
      </c>
      <c r="L200" t="s">
        <v>205</v>
      </c>
      <c r="M200" t="s">
        <v>26</v>
      </c>
      <c r="N200" t="s">
        <v>531</v>
      </c>
      <c r="O200">
        <v>1</v>
      </c>
      <c r="P200">
        <v>1</v>
      </c>
      <c r="Q200">
        <v>0</v>
      </c>
      <c r="R200" s="1">
        <v>46177.862442129626</v>
      </c>
      <c r="S200" s="1">
        <v>46205.611666666664</v>
      </c>
    </row>
    <row r="201" spans="1:19" x14ac:dyDescent="0.25">
      <c r="A201">
        <v>2010103501</v>
      </c>
      <c r="B201" t="s">
        <v>28</v>
      </c>
      <c r="C201" t="s">
        <v>29</v>
      </c>
      <c r="D201" t="s">
        <v>532</v>
      </c>
      <c r="E201" t="s">
        <v>533</v>
      </c>
      <c r="F201" t="e">
        <f>--ds-btn-soft-info-text</f>
        <v>#NAME?</v>
      </c>
      <c r="G201" t="s">
        <v>534</v>
      </c>
      <c r="H201" t="s">
        <v>534</v>
      </c>
      <c r="I201" t="s">
        <v>32</v>
      </c>
      <c r="J201" t="s">
        <v>24</v>
      </c>
      <c r="K201" t="s">
        <v>415</v>
      </c>
      <c r="L201" t="s">
        <v>205</v>
      </c>
      <c r="M201" t="s">
        <v>38</v>
      </c>
      <c r="N201" t="s">
        <v>531</v>
      </c>
      <c r="O201">
        <v>1</v>
      </c>
      <c r="P201">
        <v>1</v>
      </c>
      <c r="Q201">
        <v>0</v>
      </c>
      <c r="R201" s="1">
        <v>46177.862442129626</v>
      </c>
      <c r="S201" s="1">
        <v>46205.611666666664</v>
      </c>
    </row>
    <row r="202" spans="1:19" x14ac:dyDescent="0.25">
      <c r="A202">
        <v>2010103502</v>
      </c>
      <c r="B202" t="s">
        <v>28</v>
      </c>
      <c r="C202" t="s">
        <v>29</v>
      </c>
      <c r="D202" t="s">
        <v>535</v>
      </c>
      <c r="E202" t="s">
        <v>536</v>
      </c>
      <c r="F202" t="e">
        <f>--ds-btn-soft-info-border</f>
        <v>#NAME?</v>
      </c>
      <c r="G202" t="s">
        <v>530</v>
      </c>
      <c r="H202" t="s">
        <v>530</v>
      </c>
      <c r="I202" t="s">
        <v>32</v>
      </c>
      <c r="J202" t="s">
        <v>24</v>
      </c>
      <c r="K202" t="s">
        <v>415</v>
      </c>
      <c r="L202" t="s">
        <v>205</v>
      </c>
      <c r="M202" t="s">
        <v>42</v>
      </c>
      <c r="N202" t="s">
        <v>531</v>
      </c>
      <c r="O202">
        <v>1</v>
      </c>
      <c r="P202">
        <v>1</v>
      </c>
      <c r="Q202">
        <v>0</v>
      </c>
      <c r="R202" s="1">
        <v>46177.862442129626</v>
      </c>
      <c r="S202" s="1">
        <v>46205.611666666664</v>
      </c>
    </row>
    <row r="203" spans="1:19" x14ac:dyDescent="0.25">
      <c r="A203">
        <v>2010103503</v>
      </c>
      <c r="B203" t="s">
        <v>28</v>
      </c>
      <c r="C203" t="s">
        <v>29</v>
      </c>
      <c r="D203" t="s">
        <v>537</v>
      </c>
      <c r="E203" t="s">
        <v>538</v>
      </c>
      <c r="F203" t="e">
        <f>--ds-btn-soft-info-hover-bg</f>
        <v>#NAME?</v>
      </c>
      <c r="G203" t="s">
        <v>539</v>
      </c>
      <c r="H203" t="s">
        <v>539</v>
      </c>
      <c r="I203" t="s">
        <v>32</v>
      </c>
      <c r="J203" t="s">
        <v>24</v>
      </c>
      <c r="K203" t="s">
        <v>415</v>
      </c>
      <c r="L203" t="s">
        <v>205</v>
      </c>
      <c r="M203" t="s">
        <v>46</v>
      </c>
      <c r="N203" t="s">
        <v>531</v>
      </c>
      <c r="O203">
        <v>1</v>
      </c>
      <c r="P203">
        <v>1</v>
      </c>
      <c r="Q203">
        <v>0</v>
      </c>
      <c r="R203" s="1">
        <v>46177.862442129626</v>
      </c>
      <c r="S203" s="1">
        <v>46205.611666666664</v>
      </c>
    </row>
    <row r="204" spans="1:19" x14ac:dyDescent="0.25">
      <c r="A204">
        <v>2010103504</v>
      </c>
      <c r="B204" t="s">
        <v>28</v>
      </c>
      <c r="C204" t="s">
        <v>29</v>
      </c>
      <c r="D204" t="s">
        <v>540</v>
      </c>
      <c r="E204" t="s">
        <v>541</v>
      </c>
      <c r="F204" t="e">
        <f>--ds-btn-soft-info-hover-text</f>
        <v>#NAME?</v>
      </c>
      <c r="G204" t="s">
        <v>542</v>
      </c>
      <c r="H204" t="s">
        <v>542</v>
      </c>
      <c r="I204" t="s">
        <v>32</v>
      </c>
      <c r="J204" t="s">
        <v>24</v>
      </c>
      <c r="K204" t="s">
        <v>415</v>
      </c>
      <c r="L204" t="s">
        <v>205</v>
      </c>
      <c r="M204" t="s">
        <v>49</v>
      </c>
      <c r="N204" t="s">
        <v>531</v>
      </c>
      <c r="O204">
        <v>1</v>
      </c>
      <c r="P204">
        <v>1</v>
      </c>
      <c r="Q204">
        <v>0</v>
      </c>
      <c r="R204" s="1">
        <v>46177.862442129626</v>
      </c>
      <c r="S204" s="1">
        <v>46205.611666666664</v>
      </c>
    </row>
    <row r="205" spans="1:19" x14ac:dyDescent="0.25">
      <c r="A205">
        <v>2010103505</v>
      </c>
      <c r="B205" t="s">
        <v>28</v>
      </c>
      <c r="C205" t="s">
        <v>29</v>
      </c>
      <c r="D205" t="s">
        <v>543</v>
      </c>
      <c r="E205" t="s">
        <v>544</v>
      </c>
      <c r="F205" t="e">
        <f>--ds-btn-soft-info-hover-border</f>
        <v>#NAME?</v>
      </c>
      <c r="G205" t="s">
        <v>539</v>
      </c>
      <c r="H205" t="s">
        <v>539</v>
      </c>
      <c r="I205" t="s">
        <v>32</v>
      </c>
      <c r="J205" t="s">
        <v>24</v>
      </c>
      <c r="K205" t="s">
        <v>415</v>
      </c>
      <c r="L205" t="s">
        <v>205</v>
      </c>
      <c r="M205" t="s">
        <v>53</v>
      </c>
      <c r="N205" t="s">
        <v>531</v>
      </c>
      <c r="O205">
        <v>1</v>
      </c>
      <c r="P205">
        <v>1</v>
      </c>
      <c r="Q205">
        <v>0</v>
      </c>
      <c r="R205" s="1">
        <v>46177.862442129626</v>
      </c>
      <c r="S205" s="1">
        <v>46205.611666666664</v>
      </c>
    </row>
    <row r="206" spans="1:19" x14ac:dyDescent="0.25">
      <c r="A206">
        <v>2010103506</v>
      </c>
      <c r="B206" t="s">
        <v>28</v>
      </c>
      <c r="C206" t="s">
        <v>29</v>
      </c>
      <c r="D206" t="s">
        <v>545</v>
      </c>
      <c r="E206" t="s">
        <v>546</v>
      </c>
      <c r="F206" t="e">
        <f>--ds-btn-soft-info-disabled-bg</f>
        <v>#NAME?</v>
      </c>
      <c r="G206" t="s">
        <v>432</v>
      </c>
      <c r="H206" t="s">
        <v>432</v>
      </c>
      <c r="I206" t="s">
        <v>32</v>
      </c>
      <c r="J206" t="s">
        <v>24</v>
      </c>
      <c r="K206" t="s">
        <v>415</v>
      </c>
      <c r="L206" t="s">
        <v>205</v>
      </c>
      <c r="M206" t="s">
        <v>57</v>
      </c>
      <c r="N206" t="s">
        <v>531</v>
      </c>
      <c r="O206">
        <v>1</v>
      </c>
      <c r="P206">
        <v>1</v>
      </c>
      <c r="Q206">
        <v>0</v>
      </c>
      <c r="R206" s="1">
        <v>46177.862442129626</v>
      </c>
      <c r="S206" s="1">
        <v>46205.611666666664</v>
      </c>
    </row>
    <row r="207" spans="1:19" x14ac:dyDescent="0.25">
      <c r="A207">
        <v>2010103507</v>
      </c>
      <c r="B207" t="s">
        <v>28</v>
      </c>
      <c r="C207" t="s">
        <v>29</v>
      </c>
      <c r="D207" t="s">
        <v>547</v>
      </c>
      <c r="E207" t="s">
        <v>548</v>
      </c>
      <c r="F207" t="e">
        <f>--ds-btn-soft-info-disabled-text</f>
        <v>#NAME?</v>
      </c>
      <c r="G207" t="s">
        <v>60</v>
      </c>
      <c r="H207" t="s">
        <v>60</v>
      </c>
      <c r="I207" t="s">
        <v>32</v>
      </c>
      <c r="J207" t="s">
        <v>24</v>
      </c>
      <c r="K207" t="s">
        <v>415</v>
      </c>
      <c r="L207" t="s">
        <v>205</v>
      </c>
      <c r="M207" t="s">
        <v>61</v>
      </c>
      <c r="N207" t="s">
        <v>531</v>
      </c>
      <c r="O207">
        <v>1</v>
      </c>
      <c r="P207">
        <v>1</v>
      </c>
      <c r="Q207">
        <v>0</v>
      </c>
      <c r="R207" s="1">
        <v>46177.862442129626</v>
      </c>
      <c r="S207" s="1">
        <v>46205.611666666664</v>
      </c>
    </row>
    <row r="208" spans="1:19" x14ac:dyDescent="0.25">
      <c r="A208">
        <v>2010103508</v>
      </c>
      <c r="B208" t="s">
        <v>28</v>
      </c>
      <c r="C208" t="s">
        <v>29</v>
      </c>
      <c r="D208" t="s">
        <v>549</v>
      </c>
      <c r="E208" t="s">
        <v>550</v>
      </c>
      <c r="F208" t="e">
        <f>--ds-btn-soft-info-disabled-border</f>
        <v>#NAME?</v>
      </c>
      <c r="G208" t="s">
        <v>432</v>
      </c>
      <c r="H208" t="s">
        <v>432</v>
      </c>
      <c r="I208" t="s">
        <v>32</v>
      </c>
      <c r="J208" t="s">
        <v>24</v>
      </c>
      <c r="K208" t="s">
        <v>415</v>
      </c>
      <c r="L208" t="s">
        <v>205</v>
      </c>
      <c r="M208" t="s">
        <v>65</v>
      </c>
      <c r="N208" t="s">
        <v>531</v>
      </c>
      <c r="O208">
        <v>1</v>
      </c>
      <c r="P208">
        <v>1</v>
      </c>
      <c r="Q208">
        <v>0</v>
      </c>
      <c r="R208" s="1">
        <v>46177.862442129626</v>
      </c>
      <c r="S208" s="1">
        <v>46205.611666666664</v>
      </c>
    </row>
    <row r="209" spans="1:19" x14ac:dyDescent="0.25">
      <c r="A209">
        <v>2010103600</v>
      </c>
      <c r="B209" t="s">
        <v>28</v>
      </c>
      <c r="C209" t="s">
        <v>29</v>
      </c>
      <c r="D209" t="s">
        <v>551</v>
      </c>
      <c r="E209" t="s">
        <v>552</v>
      </c>
      <c r="F209" t="e">
        <f>--ds-btn-soft-light-bg</f>
        <v>#NAME?</v>
      </c>
      <c r="G209" t="s">
        <v>123</v>
      </c>
      <c r="H209" t="s">
        <v>123</v>
      </c>
      <c r="I209" t="s">
        <v>32</v>
      </c>
      <c r="J209" t="s">
        <v>24</v>
      </c>
      <c r="K209" t="s">
        <v>415</v>
      </c>
      <c r="L209" t="s">
        <v>226</v>
      </c>
      <c r="M209" t="s">
        <v>26</v>
      </c>
      <c r="N209" t="s">
        <v>553</v>
      </c>
      <c r="O209">
        <v>1</v>
      </c>
      <c r="P209">
        <v>1</v>
      </c>
      <c r="Q209">
        <v>0</v>
      </c>
      <c r="R209" s="1">
        <v>46177.862442129626</v>
      </c>
      <c r="S209" s="1">
        <v>46205.611666666664</v>
      </c>
    </row>
    <row r="210" spans="1:19" x14ac:dyDescent="0.25">
      <c r="A210">
        <v>2010103601</v>
      </c>
      <c r="B210" t="s">
        <v>28</v>
      </c>
      <c r="C210" t="s">
        <v>29</v>
      </c>
      <c r="D210" t="s">
        <v>554</v>
      </c>
      <c r="E210" t="s">
        <v>555</v>
      </c>
      <c r="F210" t="e">
        <f>--ds-btn-soft-light-text</f>
        <v>#NAME?</v>
      </c>
      <c r="G210" t="s">
        <v>117</v>
      </c>
      <c r="H210" t="s">
        <v>117</v>
      </c>
      <c r="I210" t="s">
        <v>32</v>
      </c>
      <c r="J210" t="s">
        <v>24</v>
      </c>
      <c r="K210" t="s">
        <v>415</v>
      </c>
      <c r="L210" t="s">
        <v>226</v>
      </c>
      <c r="M210" t="s">
        <v>38</v>
      </c>
      <c r="N210" t="s">
        <v>553</v>
      </c>
      <c r="O210">
        <v>1</v>
      </c>
      <c r="P210">
        <v>1</v>
      </c>
      <c r="Q210">
        <v>0</v>
      </c>
      <c r="R210" s="1">
        <v>46177.862442129626</v>
      </c>
      <c r="S210" s="1">
        <v>46205.611666666664</v>
      </c>
    </row>
    <row r="211" spans="1:19" x14ac:dyDescent="0.25">
      <c r="A211">
        <v>2010103602</v>
      </c>
      <c r="B211" t="s">
        <v>28</v>
      </c>
      <c r="C211" t="s">
        <v>29</v>
      </c>
      <c r="D211" t="s">
        <v>556</v>
      </c>
      <c r="E211" t="s">
        <v>557</v>
      </c>
      <c r="F211" t="e">
        <f>--ds-btn-soft-light-border</f>
        <v>#NAME?</v>
      </c>
      <c r="G211" t="s">
        <v>123</v>
      </c>
      <c r="H211" t="s">
        <v>123</v>
      </c>
      <c r="I211" t="s">
        <v>32</v>
      </c>
      <c r="J211" t="s">
        <v>24</v>
      </c>
      <c r="K211" t="s">
        <v>415</v>
      </c>
      <c r="L211" t="s">
        <v>226</v>
      </c>
      <c r="M211" t="s">
        <v>42</v>
      </c>
      <c r="N211" t="s">
        <v>553</v>
      </c>
      <c r="O211">
        <v>1</v>
      </c>
      <c r="P211">
        <v>1</v>
      </c>
      <c r="Q211">
        <v>0</v>
      </c>
      <c r="R211" s="1">
        <v>46177.862442129626</v>
      </c>
      <c r="S211" s="1">
        <v>46205.611666666664</v>
      </c>
    </row>
    <row r="212" spans="1:19" x14ac:dyDescent="0.25">
      <c r="A212">
        <v>2010103603</v>
      </c>
      <c r="B212" t="s">
        <v>28</v>
      </c>
      <c r="C212" t="s">
        <v>29</v>
      </c>
      <c r="D212" t="s">
        <v>558</v>
      </c>
      <c r="E212" t="s">
        <v>559</v>
      </c>
      <c r="F212" t="e">
        <f>--ds-btn-soft-light-hover-bg</f>
        <v>#NAME?</v>
      </c>
      <c r="G212" t="s">
        <v>234</v>
      </c>
      <c r="H212" t="s">
        <v>234</v>
      </c>
      <c r="I212" t="s">
        <v>32</v>
      </c>
      <c r="J212" t="s">
        <v>24</v>
      </c>
      <c r="K212" t="s">
        <v>415</v>
      </c>
      <c r="L212" t="s">
        <v>226</v>
      </c>
      <c r="M212" t="s">
        <v>46</v>
      </c>
      <c r="N212" t="s">
        <v>553</v>
      </c>
      <c r="O212">
        <v>1</v>
      </c>
      <c r="P212">
        <v>1</v>
      </c>
      <c r="Q212">
        <v>0</v>
      </c>
      <c r="R212" s="1">
        <v>46177.862442129626</v>
      </c>
      <c r="S212" s="1">
        <v>46205.611666666664</v>
      </c>
    </row>
    <row r="213" spans="1:19" x14ac:dyDescent="0.25">
      <c r="A213">
        <v>2010103604</v>
      </c>
      <c r="B213" t="s">
        <v>28</v>
      </c>
      <c r="C213" t="s">
        <v>29</v>
      </c>
      <c r="D213" t="s">
        <v>560</v>
      </c>
      <c r="E213" t="s">
        <v>561</v>
      </c>
      <c r="F213" t="e">
        <f>--ds-btn-soft-light-hover-text</f>
        <v>#NAME?</v>
      </c>
      <c r="G213" t="s">
        <v>117</v>
      </c>
      <c r="H213" t="s">
        <v>117</v>
      </c>
      <c r="I213" t="s">
        <v>32</v>
      </c>
      <c r="J213" t="s">
        <v>24</v>
      </c>
      <c r="K213" t="s">
        <v>415</v>
      </c>
      <c r="L213" t="s">
        <v>226</v>
      </c>
      <c r="M213" t="s">
        <v>49</v>
      </c>
      <c r="N213" t="s">
        <v>553</v>
      </c>
      <c r="O213">
        <v>1</v>
      </c>
      <c r="P213">
        <v>1</v>
      </c>
      <c r="Q213">
        <v>0</v>
      </c>
      <c r="R213" s="1">
        <v>46177.862442129626</v>
      </c>
      <c r="S213" s="1">
        <v>46205.611666666664</v>
      </c>
    </row>
    <row r="214" spans="1:19" x14ac:dyDescent="0.25">
      <c r="A214">
        <v>2010103605</v>
      </c>
      <c r="B214" t="s">
        <v>28</v>
      </c>
      <c r="C214" t="s">
        <v>29</v>
      </c>
      <c r="D214" t="s">
        <v>562</v>
      </c>
      <c r="E214" t="s">
        <v>563</v>
      </c>
      <c r="F214" t="e">
        <f>--ds-btn-soft-light-hover-border</f>
        <v>#NAME?</v>
      </c>
      <c r="G214" t="s">
        <v>234</v>
      </c>
      <c r="H214" t="s">
        <v>234</v>
      </c>
      <c r="I214" t="s">
        <v>32</v>
      </c>
      <c r="J214" t="s">
        <v>24</v>
      </c>
      <c r="K214" t="s">
        <v>415</v>
      </c>
      <c r="L214" t="s">
        <v>226</v>
      </c>
      <c r="M214" t="s">
        <v>53</v>
      </c>
      <c r="N214" t="s">
        <v>553</v>
      </c>
      <c r="O214">
        <v>1</v>
      </c>
      <c r="P214">
        <v>1</v>
      </c>
      <c r="Q214">
        <v>0</v>
      </c>
      <c r="R214" s="1">
        <v>46177.862442129626</v>
      </c>
      <c r="S214" s="1">
        <v>46205.611666666664</v>
      </c>
    </row>
    <row r="215" spans="1:19" x14ac:dyDescent="0.25">
      <c r="A215">
        <v>2010103606</v>
      </c>
      <c r="B215" t="s">
        <v>28</v>
      </c>
      <c r="C215" t="s">
        <v>29</v>
      </c>
      <c r="D215" t="s">
        <v>564</v>
      </c>
      <c r="E215" t="s">
        <v>565</v>
      </c>
      <c r="F215" t="e">
        <f>--ds-btn-soft-light-disabled-bg</f>
        <v>#NAME?</v>
      </c>
      <c r="G215" t="s">
        <v>432</v>
      </c>
      <c r="H215" t="s">
        <v>432</v>
      </c>
      <c r="I215" t="s">
        <v>32</v>
      </c>
      <c r="J215" t="s">
        <v>24</v>
      </c>
      <c r="K215" t="s">
        <v>415</v>
      </c>
      <c r="L215" t="s">
        <v>226</v>
      </c>
      <c r="M215" t="s">
        <v>57</v>
      </c>
      <c r="N215" t="s">
        <v>553</v>
      </c>
      <c r="O215">
        <v>1</v>
      </c>
      <c r="P215">
        <v>1</v>
      </c>
      <c r="Q215">
        <v>0</v>
      </c>
      <c r="R215" s="1">
        <v>46177.862442129626</v>
      </c>
      <c r="S215" s="1">
        <v>46205.611666666664</v>
      </c>
    </row>
    <row r="216" spans="1:19" x14ac:dyDescent="0.25">
      <c r="A216">
        <v>2010103607</v>
      </c>
      <c r="B216" t="s">
        <v>28</v>
      </c>
      <c r="C216" t="s">
        <v>29</v>
      </c>
      <c r="D216" t="s">
        <v>566</v>
      </c>
      <c r="E216" t="s">
        <v>567</v>
      </c>
      <c r="F216" t="e">
        <f>--ds-btn-soft-light-disabled-text</f>
        <v>#NAME?</v>
      </c>
      <c r="G216" t="s">
        <v>60</v>
      </c>
      <c r="H216" t="s">
        <v>60</v>
      </c>
      <c r="I216" t="s">
        <v>32</v>
      </c>
      <c r="J216" t="s">
        <v>24</v>
      </c>
      <c r="K216" t="s">
        <v>415</v>
      </c>
      <c r="L216" t="s">
        <v>226</v>
      </c>
      <c r="M216" t="s">
        <v>61</v>
      </c>
      <c r="N216" t="s">
        <v>553</v>
      </c>
      <c r="O216">
        <v>1</v>
      </c>
      <c r="P216">
        <v>1</v>
      </c>
      <c r="Q216">
        <v>0</v>
      </c>
      <c r="R216" s="1">
        <v>46177.862442129626</v>
      </c>
      <c r="S216" s="1">
        <v>46205.611666666664</v>
      </c>
    </row>
    <row r="217" spans="1:19" x14ac:dyDescent="0.25">
      <c r="A217">
        <v>2010103608</v>
      </c>
      <c r="B217" t="s">
        <v>28</v>
      </c>
      <c r="C217" t="s">
        <v>29</v>
      </c>
      <c r="D217" t="s">
        <v>568</v>
      </c>
      <c r="E217" t="s">
        <v>569</v>
      </c>
      <c r="F217" t="e">
        <f>--ds-btn-soft-light-disabled-border</f>
        <v>#NAME?</v>
      </c>
      <c r="G217" t="s">
        <v>432</v>
      </c>
      <c r="H217" t="s">
        <v>432</v>
      </c>
      <c r="I217" t="s">
        <v>32</v>
      </c>
      <c r="J217" t="s">
        <v>24</v>
      </c>
      <c r="K217" t="s">
        <v>415</v>
      </c>
      <c r="L217" t="s">
        <v>226</v>
      </c>
      <c r="M217" t="s">
        <v>65</v>
      </c>
      <c r="N217" t="s">
        <v>553</v>
      </c>
      <c r="O217">
        <v>1</v>
      </c>
      <c r="P217">
        <v>1</v>
      </c>
      <c r="Q217">
        <v>0</v>
      </c>
      <c r="R217" s="1">
        <v>46177.862442129626</v>
      </c>
      <c r="S217" s="1">
        <v>46205.611666666664</v>
      </c>
    </row>
    <row r="218" spans="1:19" x14ac:dyDescent="0.25">
      <c r="A218">
        <v>2010104000</v>
      </c>
      <c r="B218" t="s">
        <v>28</v>
      </c>
      <c r="C218" t="s">
        <v>29</v>
      </c>
      <c r="D218" t="s">
        <v>570</v>
      </c>
      <c r="E218" t="s">
        <v>571</v>
      </c>
      <c r="F218" t="e">
        <f>--ds-btn-icon-primary-bg</f>
        <v>#NAME?</v>
      </c>
      <c r="G218" t="s">
        <v>23</v>
      </c>
      <c r="H218" t="s">
        <v>23</v>
      </c>
      <c r="I218" t="s">
        <v>32</v>
      </c>
      <c r="J218" t="s">
        <v>24</v>
      </c>
      <c r="K218" t="s">
        <v>572</v>
      </c>
      <c r="L218" t="s">
        <v>25</v>
      </c>
      <c r="M218" t="s">
        <v>26</v>
      </c>
      <c r="N218" t="s">
        <v>573</v>
      </c>
      <c r="O218">
        <v>1</v>
      </c>
      <c r="P218">
        <v>1</v>
      </c>
      <c r="Q218">
        <v>0</v>
      </c>
      <c r="R218" s="1">
        <v>46177.869652777779</v>
      </c>
      <c r="S218" s="1">
        <v>46205.611666666664</v>
      </c>
    </row>
    <row r="219" spans="1:19" x14ac:dyDescent="0.25">
      <c r="A219">
        <v>2010104001</v>
      </c>
      <c r="B219" t="s">
        <v>28</v>
      </c>
      <c r="C219" t="s">
        <v>29</v>
      </c>
      <c r="D219" t="s">
        <v>574</v>
      </c>
      <c r="E219" t="s">
        <v>575</v>
      </c>
      <c r="F219" t="e">
        <f>--ds-btn-icon-primary-text</f>
        <v>#NAME?</v>
      </c>
      <c r="G219" t="s">
        <v>37</v>
      </c>
      <c r="H219" t="s">
        <v>37</v>
      </c>
      <c r="I219" t="s">
        <v>32</v>
      </c>
      <c r="J219" t="s">
        <v>24</v>
      </c>
      <c r="K219" t="s">
        <v>572</v>
      </c>
      <c r="L219" t="s">
        <v>25</v>
      </c>
      <c r="M219" t="s">
        <v>38</v>
      </c>
      <c r="N219" t="s">
        <v>573</v>
      </c>
      <c r="O219">
        <v>1</v>
      </c>
      <c r="P219">
        <v>1</v>
      </c>
      <c r="Q219">
        <v>0</v>
      </c>
      <c r="R219" s="1">
        <v>46177.869652777779</v>
      </c>
      <c r="S219" s="1">
        <v>46205.611666666664</v>
      </c>
    </row>
    <row r="220" spans="1:19" x14ac:dyDescent="0.25">
      <c r="A220">
        <v>2010104002</v>
      </c>
      <c r="B220" t="s">
        <v>28</v>
      </c>
      <c r="C220" t="s">
        <v>29</v>
      </c>
      <c r="D220" t="s">
        <v>576</v>
      </c>
      <c r="E220" t="s">
        <v>577</v>
      </c>
      <c r="F220" t="e">
        <f>--ds-btn-icon-primary-border</f>
        <v>#NAME?</v>
      </c>
      <c r="G220" t="s">
        <v>41</v>
      </c>
      <c r="H220" t="s">
        <v>41</v>
      </c>
      <c r="I220" t="s">
        <v>32</v>
      </c>
      <c r="J220" t="s">
        <v>24</v>
      </c>
      <c r="K220" t="s">
        <v>572</v>
      </c>
      <c r="L220" t="s">
        <v>25</v>
      </c>
      <c r="M220" t="s">
        <v>42</v>
      </c>
      <c r="N220" t="s">
        <v>573</v>
      </c>
      <c r="O220">
        <v>1</v>
      </c>
      <c r="P220">
        <v>1</v>
      </c>
      <c r="Q220">
        <v>0</v>
      </c>
      <c r="R220" s="1">
        <v>46177.869652777779</v>
      </c>
      <c r="S220" s="1">
        <v>46205.611666666664</v>
      </c>
    </row>
    <row r="221" spans="1:19" x14ac:dyDescent="0.25">
      <c r="A221">
        <v>2010104003</v>
      </c>
      <c r="B221" t="s">
        <v>28</v>
      </c>
      <c r="C221" t="s">
        <v>29</v>
      </c>
      <c r="D221" t="s">
        <v>578</v>
      </c>
      <c r="E221" t="s">
        <v>579</v>
      </c>
      <c r="F221" t="e">
        <f>--ds-btn-icon-primary-hover-bg</f>
        <v>#NAME?</v>
      </c>
      <c r="G221" t="s">
        <v>45</v>
      </c>
      <c r="H221" t="s">
        <v>45</v>
      </c>
      <c r="I221" t="s">
        <v>32</v>
      </c>
      <c r="J221" t="s">
        <v>24</v>
      </c>
      <c r="K221" t="s">
        <v>572</v>
      </c>
      <c r="L221" t="s">
        <v>25</v>
      </c>
      <c r="M221" t="s">
        <v>46</v>
      </c>
      <c r="N221" t="s">
        <v>573</v>
      </c>
      <c r="O221">
        <v>1</v>
      </c>
      <c r="P221">
        <v>1</v>
      </c>
      <c r="Q221">
        <v>0</v>
      </c>
      <c r="R221" s="1">
        <v>46177.869652777779</v>
      </c>
      <c r="S221" s="1">
        <v>46205.611666666664</v>
      </c>
    </row>
    <row r="222" spans="1:19" x14ac:dyDescent="0.25">
      <c r="A222">
        <v>2010104004</v>
      </c>
      <c r="B222" t="s">
        <v>28</v>
      </c>
      <c r="C222" t="s">
        <v>29</v>
      </c>
      <c r="D222" t="s">
        <v>580</v>
      </c>
      <c r="E222" t="s">
        <v>581</v>
      </c>
      <c r="F222" t="e">
        <f>--ds-btn-icon-primary-hover-text</f>
        <v>#NAME?</v>
      </c>
      <c r="G222" t="s">
        <v>37</v>
      </c>
      <c r="H222" t="s">
        <v>37</v>
      </c>
      <c r="I222" t="s">
        <v>32</v>
      </c>
      <c r="J222" t="s">
        <v>24</v>
      </c>
      <c r="K222" t="s">
        <v>572</v>
      </c>
      <c r="L222" t="s">
        <v>25</v>
      </c>
      <c r="M222" t="s">
        <v>49</v>
      </c>
      <c r="N222" t="s">
        <v>573</v>
      </c>
      <c r="O222">
        <v>1</v>
      </c>
      <c r="P222">
        <v>1</v>
      </c>
      <c r="Q222">
        <v>0</v>
      </c>
      <c r="R222" s="1">
        <v>46177.869652777779</v>
      </c>
      <c r="S222" s="1">
        <v>46205.611666666664</v>
      </c>
    </row>
    <row r="223" spans="1:19" x14ac:dyDescent="0.25">
      <c r="A223">
        <v>2010104005</v>
      </c>
      <c r="B223" t="s">
        <v>28</v>
      </c>
      <c r="C223" t="s">
        <v>29</v>
      </c>
      <c r="D223" t="s">
        <v>582</v>
      </c>
      <c r="E223" t="s">
        <v>583</v>
      </c>
      <c r="F223" t="e">
        <f>--ds-btn-icon-primary-hover-border</f>
        <v>#NAME?</v>
      </c>
      <c r="G223" t="s">
        <v>52</v>
      </c>
      <c r="H223" t="s">
        <v>52</v>
      </c>
      <c r="I223" t="s">
        <v>32</v>
      </c>
      <c r="J223" t="s">
        <v>24</v>
      </c>
      <c r="K223" t="s">
        <v>572</v>
      </c>
      <c r="L223" t="s">
        <v>25</v>
      </c>
      <c r="M223" t="s">
        <v>53</v>
      </c>
      <c r="N223" t="s">
        <v>573</v>
      </c>
      <c r="O223">
        <v>1</v>
      </c>
      <c r="P223">
        <v>1</v>
      </c>
      <c r="Q223">
        <v>0</v>
      </c>
      <c r="R223" s="1">
        <v>46177.869652777779</v>
      </c>
      <c r="S223" s="1">
        <v>46205.611666666664</v>
      </c>
    </row>
    <row r="224" spans="1:19" x14ac:dyDescent="0.25">
      <c r="A224">
        <v>2010104006</v>
      </c>
      <c r="B224" t="s">
        <v>28</v>
      </c>
      <c r="C224" t="s">
        <v>29</v>
      </c>
      <c r="D224" t="s">
        <v>584</v>
      </c>
      <c r="E224" t="s">
        <v>585</v>
      </c>
      <c r="F224" t="e">
        <f>--ds-btn-icon-primary-disabled-bg</f>
        <v>#NAME?</v>
      </c>
      <c r="G224" t="s">
        <v>56</v>
      </c>
      <c r="H224" t="s">
        <v>56</v>
      </c>
      <c r="I224" t="s">
        <v>32</v>
      </c>
      <c r="J224" t="s">
        <v>24</v>
      </c>
      <c r="K224" t="s">
        <v>572</v>
      </c>
      <c r="L224" t="s">
        <v>25</v>
      </c>
      <c r="M224" t="s">
        <v>57</v>
      </c>
      <c r="N224" t="s">
        <v>573</v>
      </c>
      <c r="O224">
        <v>1</v>
      </c>
      <c r="P224">
        <v>1</v>
      </c>
      <c r="Q224">
        <v>0</v>
      </c>
      <c r="R224" s="1">
        <v>46177.869652777779</v>
      </c>
      <c r="S224" s="1">
        <v>46205.611666666664</v>
      </c>
    </row>
    <row r="225" spans="1:19" x14ac:dyDescent="0.25">
      <c r="A225">
        <v>2010104007</v>
      </c>
      <c r="B225" t="s">
        <v>28</v>
      </c>
      <c r="C225" t="s">
        <v>29</v>
      </c>
      <c r="D225" t="s">
        <v>586</v>
      </c>
      <c r="E225" t="s">
        <v>587</v>
      </c>
      <c r="F225" t="e">
        <f>--ds-btn-icon-primary-disabled-text</f>
        <v>#NAME?</v>
      </c>
      <c r="G225" t="s">
        <v>60</v>
      </c>
      <c r="H225" t="s">
        <v>60</v>
      </c>
      <c r="I225" t="s">
        <v>32</v>
      </c>
      <c r="J225" t="s">
        <v>24</v>
      </c>
      <c r="K225" t="s">
        <v>572</v>
      </c>
      <c r="L225" t="s">
        <v>25</v>
      </c>
      <c r="M225" t="s">
        <v>61</v>
      </c>
      <c r="N225" t="s">
        <v>573</v>
      </c>
      <c r="O225">
        <v>1</v>
      </c>
      <c r="P225">
        <v>1</v>
      </c>
      <c r="Q225">
        <v>0</v>
      </c>
      <c r="R225" s="1">
        <v>46177.869652777779</v>
      </c>
      <c r="S225" s="1">
        <v>46205.611666666664</v>
      </c>
    </row>
    <row r="226" spans="1:19" x14ac:dyDescent="0.25">
      <c r="A226">
        <v>2010104008</v>
      </c>
      <c r="B226" t="s">
        <v>28</v>
      </c>
      <c r="C226" t="s">
        <v>29</v>
      </c>
      <c r="D226" t="s">
        <v>588</v>
      </c>
      <c r="E226" t="s">
        <v>589</v>
      </c>
      <c r="F226" t="e">
        <f>--ds-btn-icon-primary-disabled-border</f>
        <v>#NAME?</v>
      </c>
      <c r="G226" t="s">
        <v>64</v>
      </c>
      <c r="H226" t="s">
        <v>64</v>
      </c>
      <c r="I226" t="s">
        <v>32</v>
      </c>
      <c r="J226" t="s">
        <v>24</v>
      </c>
      <c r="K226" t="s">
        <v>572</v>
      </c>
      <c r="L226" t="s">
        <v>25</v>
      </c>
      <c r="M226" t="s">
        <v>65</v>
      </c>
      <c r="N226" t="s">
        <v>573</v>
      </c>
      <c r="O226">
        <v>1</v>
      </c>
      <c r="P226">
        <v>1</v>
      </c>
      <c r="Q226">
        <v>0</v>
      </c>
      <c r="R226" s="1">
        <v>46177.869652777779</v>
      </c>
      <c r="S226" s="1">
        <v>46205.611666666664</v>
      </c>
    </row>
    <row r="227" spans="1:19" x14ac:dyDescent="0.25">
      <c r="A227">
        <v>2010104100</v>
      </c>
      <c r="B227" t="s">
        <v>28</v>
      </c>
      <c r="C227" t="s">
        <v>29</v>
      </c>
      <c r="D227" t="s">
        <v>590</v>
      </c>
      <c r="E227" t="s">
        <v>591</v>
      </c>
      <c r="F227" t="e">
        <f>--ds-btn-icon-secondary-bg</f>
        <v>#NAME?</v>
      </c>
      <c r="G227" t="s">
        <v>432</v>
      </c>
      <c r="H227" t="s">
        <v>432</v>
      </c>
      <c r="I227" t="s">
        <v>32</v>
      </c>
      <c r="J227" t="s">
        <v>24</v>
      </c>
      <c r="K227" t="s">
        <v>572</v>
      </c>
      <c r="L227" t="s">
        <v>113</v>
      </c>
      <c r="M227" t="s">
        <v>26</v>
      </c>
      <c r="N227" t="s">
        <v>592</v>
      </c>
      <c r="O227">
        <v>1</v>
      </c>
      <c r="P227">
        <v>1</v>
      </c>
      <c r="Q227">
        <v>0</v>
      </c>
      <c r="R227" s="1">
        <v>46177.871574074074</v>
      </c>
      <c r="S227" s="1">
        <v>46205.611666666664</v>
      </c>
    </row>
    <row r="228" spans="1:19" x14ac:dyDescent="0.25">
      <c r="A228">
        <v>2010104101</v>
      </c>
      <c r="B228" t="s">
        <v>28</v>
      </c>
      <c r="C228" t="s">
        <v>29</v>
      </c>
      <c r="D228" t="s">
        <v>593</v>
      </c>
      <c r="E228" t="s">
        <v>594</v>
      </c>
      <c r="F228" t="e">
        <f>--ds-btn-icon-secondary-text</f>
        <v>#NAME?</v>
      </c>
      <c r="G228" t="s">
        <v>117</v>
      </c>
      <c r="H228" t="s">
        <v>117</v>
      </c>
      <c r="I228" t="s">
        <v>32</v>
      </c>
      <c r="J228" t="s">
        <v>24</v>
      </c>
      <c r="K228" t="s">
        <v>572</v>
      </c>
      <c r="L228" t="s">
        <v>113</v>
      </c>
      <c r="M228" t="s">
        <v>38</v>
      </c>
      <c r="N228" t="s">
        <v>592</v>
      </c>
      <c r="O228">
        <v>1</v>
      </c>
      <c r="P228">
        <v>1</v>
      </c>
      <c r="Q228">
        <v>0</v>
      </c>
      <c r="R228" s="1">
        <v>46177.871574074074</v>
      </c>
      <c r="S228" s="1">
        <v>46205.611666666664</v>
      </c>
    </row>
    <row r="229" spans="1:19" x14ac:dyDescent="0.25">
      <c r="A229">
        <v>2010104102</v>
      </c>
      <c r="B229" t="s">
        <v>28</v>
      </c>
      <c r="C229" t="s">
        <v>29</v>
      </c>
      <c r="D229" t="s">
        <v>595</v>
      </c>
      <c r="E229" t="s">
        <v>596</v>
      </c>
      <c r="F229" t="e">
        <f>--ds-btn-icon-secondary-border</f>
        <v>#NAME?</v>
      </c>
      <c r="G229" t="s">
        <v>120</v>
      </c>
      <c r="H229" t="s">
        <v>120</v>
      </c>
      <c r="I229" t="s">
        <v>32</v>
      </c>
      <c r="J229" t="s">
        <v>24</v>
      </c>
      <c r="K229" t="s">
        <v>572</v>
      </c>
      <c r="L229" t="s">
        <v>113</v>
      </c>
      <c r="M229" t="s">
        <v>42</v>
      </c>
      <c r="N229" t="s">
        <v>592</v>
      </c>
      <c r="O229">
        <v>1</v>
      </c>
      <c r="P229">
        <v>1</v>
      </c>
      <c r="Q229">
        <v>0</v>
      </c>
      <c r="R229" s="1">
        <v>46177.871574074074</v>
      </c>
      <c r="S229" s="1">
        <v>46205.611666666664</v>
      </c>
    </row>
    <row r="230" spans="1:19" x14ac:dyDescent="0.25">
      <c r="A230">
        <v>2010104103</v>
      </c>
      <c r="B230" t="s">
        <v>28</v>
      </c>
      <c r="C230" t="s">
        <v>29</v>
      </c>
      <c r="D230" t="s">
        <v>597</v>
      </c>
      <c r="E230" t="s">
        <v>598</v>
      </c>
      <c r="F230" t="e">
        <f>--ds-btn-icon-secondary-hover-bg</f>
        <v>#NAME?</v>
      </c>
      <c r="G230" t="s">
        <v>123</v>
      </c>
      <c r="H230" t="s">
        <v>123</v>
      </c>
      <c r="I230" t="s">
        <v>32</v>
      </c>
      <c r="J230" t="s">
        <v>24</v>
      </c>
      <c r="K230" t="s">
        <v>572</v>
      </c>
      <c r="L230" t="s">
        <v>113</v>
      </c>
      <c r="M230" t="s">
        <v>46</v>
      </c>
      <c r="N230" t="s">
        <v>592</v>
      </c>
      <c r="O230">
        <v>1</v>
      </c>
      <c r="P230">
        <v>1</v>
      </c>
      <c r="Q230">
        <v>0</v>
      </c>
      <c r="R230" s="1">
        <v>46177.871574074074</v>
      </c>
      <c r="S230" s="1">
        <v>46205.611666666664</v>
      </c>
    </row>
    <row r="231" spans="1:19" x14ac:dyDescent="0.25">
      <c r="A231">
        <v>2010104104</v>
      </c>
      <c r="B231" t="s">
        <v>28</v>
      </c>
      <c r="C231" t="s">
        <v>29</v>
      </c>
      <c r="D231" t="s">
        <v>599</v>
      </c>
      <c r="E231" t="s">
        <v>600</v>
      </c>
      <c r="F231" t="e">
        <f>--ds-btn-icon-secondary-hover-text</f>
        <v>#NAME?</v>
      </c>
      <c r="G231" t="s">
        <v>37</v>
      </c>
      <c r="H231" t="s">
        <v>37</v>
      </c>
      <c r="I231" t="s">
        <v>32</v>
      </c>
      <c r="J231" t="s">
        <v>24</v>
      </c>
      <c r="K231" t="s">
        <v>572</v>
      </c>
      <c r="L231" t="s">
        <v>113</v>
      </c>
      <c r="M231" t="s">
        <v>49</v>
      </c>
      <c r="N231" t="s">
        <v>592</v>
      </c>
      <c r="O231">
        <v>1</v>
      </c>
      <c r="P231">
        <v>1</v>
      </c>
      <c r="Q231">
        <v>0</v>
      </c>
      <c r="R231" s="1">
        <v>46177.871574074074</v>
      </c>
      <c r="S231" s="1">
        <v>46205.611666666664</v>
      </c>
    </row>
    <row r="232" spans="1:19" x14ac:dyDescent="0.25">
      <c r="A232">
        <v>2010104105</v>
      </c>
      <c r="B232" t="s">
        <v>28</v>
      </c>
      <c r="C232" t="s">
        <v>29</v>
      </c>
      <c r="D232" t="s">
        <v>601</v>
      </c>
      <c r="E232" t="s">
        <v>602</v>
      </c>
      <c r="F232" t="e">
        <f>--ds-btn-icon-secondary-hover-border</f>
        <v>#NAME?</v>
      </c>
      <c r="G232" t="s">
        <v>45</v>
      </c>
      <c r="H232" t="s">
        <v>45</v>
      </c>
      <c r="I232" t="s">
        <v>32</v>
      </c>
      <c r="J232" t="s">
        <v>24</v>
      </c>
      <c r="K232" t="s">
        <v>572</v>
      </c>
      <c r="L232" t="s">
        <v>113</v>
      </c>
      <c r="M232" t="s">
        <v>53</v>
      </c>
      <c r="N232" t="s">
        <v>592</v>
      </c>
      <c r="O232">
        <v>1</v>
      </c>
      <c r="P232">
        <v>1</v>
      </c>
      <c r="Q232">
        <v>0</v>
      </c>
      <c r="R232" s="1">
        <v>46177.871574074074</v>
      </c>
      <c r="S232" s="1">
        <v>46205.611666666664</v>
      </c>
    </row>
    <row r="233" spans="1:19" x14ac:dyDescent="0.25">
      <c r="A233">
        <v>2010104106</v>
      </c>
      <c r="B233" t="s">
        <v>28</v>
      </c>
      <c r="C233" t="s">
        <v>29</v>
      </c>
      <c r="D233" t="s">
        <v>603</v>
      </c>
      <c r="E233" t="s">
        <v>604</v>
      </c>
      <c r="F233" t="e">
        <f>--ds-btn-icon-secondary-disabled-bg</f>
        <v>#NAME?</v>
      </c>
      <c r="G233" t="s">
        <v>432</v>
      </c>
      <c r="H233" t="s">
        <v>432</v>
      </c>
      <c r="I233" t="s">
        <v>32</v>
      </c>
      <c r="J233" t="s">
        <v>24</v>
      </c>
      <c r="K233" t="s">
        <v>572</v>
      </c>
      <c r="L233" t="s">
        <v>113</v>
      </c>
      <c r="M233" t="s">
        <v>57</v>
      </c>
      <c r="N233" t="s">
        <v>592</v>
      </c>
      <c r="O233">
        <v>1</v>
      </c>
      <c r="P233">
        <v>1</v>
      </c>
      <c r="Q233">
        <v>0</v>
      </c>
      <c r="R233" s="1">
        <v>46177.871574074074</v>
      </c>
      <c r="S233" s="1">
        <v>46205.611666666664</v>
      </c>
    </row>
    <row r="234" spans="1:19" x14ac:dyDescent="0.25">
      <c r="A234">
        <v>2010104107</v>
      </c>
      <c r="B234" t="s">
        <v>28</v>
      </c>
      <c r="C234" t="s">
        <v>29</v>
      </c>
      <c r="D234" t="s">
        <v>605</v>
      </c>
      <c r="E234" t="s">
        <v>606</v>
      </c>
      <c r="F234" t="e">
        <f>--ds-btn-icon-secondary-disabled-text</f>
        <v>#NAME?</v>
      </c>
      <c r="G234" t="s">
        <v>60</v>
      </c>
      <c r="H234" t="s">
        <v>60</v>
      </c>
      <c r="I234" t="s">
        <v>32</v>
      </c>
      <c r="J234" t="s">
        <v>24</v>
      </c>
      <c r="K234" t="s">
        <v>572</v>
      </c>
      <c r="L234" t="s">
        <v>113</v>
      </c>
      <c r="M234" t="s">
        <v>61</v>
      </c>
      <c r="N234" t="s">
        <v>592</v>
      </c>
      <c r="O234">
        <v>1</v>
      </c>
      <c r="P234">
        <v>1</v>
      </c>
      <c r="Q234">
        <v>0</v>
      </c>
      <c r="R234" s="1">
        <v>46177.871574074074</v>
      </c>
      <c r="S234" s="1">
        <v>46205.611666666664</v>
      </c>
    </row>
    <row r="235" spans="1:19" x14ac:dyDescent="0.25">
      <c r="A235">
        <v>2010104108</v>
      </c>
      <c r="B235" t="s">
        <v>28</v>
      </c>
      <c r="C235" t="s">
        <v>29</v>
      </c>
      <c r="D235" t="s">
        <v>607</v>
      </c>
      <c r="E235" t="s">
        <v>608</v>
      </c>
      <c r="F235" t="e">
        <f>--ds-btn-icon-secondary-disabled-border</f>
        <v>#NAME?</v>
      </c>
      <c r="G235" t="s">
        <v>432</v>
      </c>
      <c r="H235" t="s">
        <v>432</v>
      </c>
      <c r="I235" t="s">
        <v>32</v>
      </c>
      <c r="J235" t="s">
        <v>24</v>
      </c>
      <c r="K235" t="s">
        <v>572</v>
      </c>
      <c r="L235" t="s">
        <v>113</v>
      </c>
      <c r="M235" t="s">
        <v>65</v>
      </c>
      <c r="N235" t="s">
        <v>592</v>
      </c>
      <c r="O235">
        <v>1</v>
      </c>
      <c r="P235">
        <v>1</v>
      </c>
      <c r="Q235">
        <v>0</v>
      </c>
      <c r="R235" s="1">
        <v>46177.871574074074</v>
      </c>
      <c r="S235" s="1">
        <v>46205.611666666664</v>
      </c>
    </row>
    <row r="236" spans="1:19" x14ac:dyDescent="0.25">
      <c r="A236">
        <v>2010104200</v>
      </c>
      <c r="B236" t="s">
        <v>28</v>
      </c>
      <c r="C236" t="s">
        <v>29</v>
      </c>
      <c r="D236" t="s">
        <v>609</v>
      </c>
      <c r="E236" t="s">
        <v>610</v>
      </c>
      <c r="F236" t="e">
        <f>--ds-btn-icon-success-bg</f>
        <v>#NAME?</v>
      </c>
      <c r="G236" t="s">
        <v>138</v>
      </c>
      <c r="H236" t="s">
        <v>138</v>
      </c>
      <c r="I236" t="s">
        <v>32</v>
      </c>
      <c r="J236" t="s">
        <v>24</v>
      </c>
      <c r="K236" t="s">
        <v>572</v>
      </c>
      <c r="L236" t="s">
        <v>139</v>
      </c>
      <c r="M236" t="s">
        <v>26</v>
      </c>
      <c r="N236" t="s">
        <v>611</v>
      </c>
      <c r="O236">
        <v>1</v>
      </c>
      <c r="P236">
        <v>1</v>
      </c>
      <c r="Q236">
        <v>0</v>
      </c>
      <c r="R236" s="1">
        <v>46178.341886574075</v>
      </c>
      <c r="S236" s="1">
        <v>46205.611666666664</v>
      </c>
    </row>
    <row r="237" spans="1:19" x14ac:dyDescent="0.25">
      <c r="A237">
        <v>2010104201</v>
      </c>
      <c r="B237" t="s">
        <v>28</v>
      </c>
      <c r="C237" t="s">
        <v>29</v>
      </c>
      <c r="D237" t="s">
        <v>612</v>
      </c>
      <c r="E237" t="s">
        <v>613</v>
      </c>
      <c r="F237" t="e">
        <f>--ds-btn-icon-success-text</f>
        <v>#NAME?</v>
      </c>
      <c r="G237" t="s">
        <v>37</v>
      </c>
      <c r="H237" t="s">
        <v>37</v>
      </c>
      <c r="I237" t="s">
        <v>32</v>
      </c>
      <c r="J237" t="s">
        <v>24</v>
      </c>
      <c r="K237" t="s">
        <v>572</v>
      </c>
      <c r="L237" t="s">
        <v>139</v>
      </c>
      <c r="M237" t="s">
        <v>38</v>
      </c>
      <c r="N237" t="s">
        <v>611</v>
      </c>
      <c r="O237">
        <v>1</v>
      </c>
      <c r="P237">
        <v>1</v>
      </c>
      <c r="Q237">
        <v>0</v>
      </c>
      <c r="R237" s="1">
        <v>46178.341886574075</v>
      </c>
      <c r="S237" s="1">
        <v>46205.611666666664</v>
      </c>
    </row>
    <row r="238" spans="1:19" x14ac:dyDescent="0.25">
      <c r="A238">
        <v>2010104202</v>
      </c>
      <c r="B238" t="s">
        <v>28</v>
      </c>
      <c r="C238" t="s">
        <v>29</v>
      </c>
      <c r="D238" t="s">
        <v>614</v>
      </c>
      <c r="E238" t="s">
        <v>615</v>
      </c>
      <c r="F238" t="e">
        <f>--ds-btn-icon-success-border</f>
        <v>#NAME?</v>
      </c>
      <c r="G238" t="s">
        <v>138</v>
      </c>
      <c r="H238" t="s">
        <v>138</v>
      </c>
      <c r="I238" t="s">
        <v>32</v>
      </c>
      <c r="J238" t="s">
        <v>24</v>
      </c>
      <c r="K238" t="s">
        <v>572</v>
      </c>
      <c r="L238" t="s">
        <v>139</v>
      </c>
      <c r="M238" t="s">
        <v>42</v>
      </c>
      <c r="N238" t="s">
        <v>611</v>
      </c>
      <c r="O238">
        <v>1</v>
      </c>
      <c r="P238">
        <v>1</v>
      </c>
      <c r="Q238">
        <v>0</v>
      </c>
      <c r="R238" s="1">
        <v>46178.341886574075</v>
      </c>
      <c r="S238" s="1">
        <v>46205.611666666664</v>
      </c>
    </row>
    <row r="239" spans="1:19" x14ac:dyDescent="0.25">
      <c r="A239">
        <v>2010104203</v>
      </c>
      <c r="B239" t="s">
        <v>28</v>
      </c>
      <c r="C239" t="s">
        <v>29</v>
      </c>
      <c r="D239" t="s">
        <v>616</v>
      </c>
      <c r="E239" t="s">
        <v>617</v>
      </c>
      <c r="F239" t="e">
        <f>--ds-btn-icon-success-hover-bg</f>
        <v>#NAME?</v>
      </c>
      <c r="G239" t="s">
        <v>147</v>
      </c>
      <c r="H239" t="s">
        <v>147</v>
      </c>
      <c r="I239" t="s">
        <v>32</v>
      </c>
      <c r="J239" t="s">
        <v>24</v>
      </c>
      <c r="K239" t="s">
        <v>572</v>
      </c>
      <c r="L239" t="s">
        <v>139</v>
      </c>
      <c r="M239" t="s">
        <v>46</v>
      </c>
      <c r="N239" t="s">
        <v>611</v>
      </c>
      <c r="O239">
        <v>1</v>
      </c>
      <c r="P239">
        <v>1</v>
      </c>
      <c r="Q239">
        <v>0</v>
      </c>
      <c r="R239" s="1">
        <v>46178.341886574075</v>
      </c>
      <c r="S239" s="1">
        <v>46205.611666666664</v>
      </c>
    </row>
    <row r="240" spans="1:19" x14ac:dyDescent="0.25">
      <c r="A240">
        <v>2010104204</v>
      </c>
      <c r="B240" t="s">
        <v>28</v>
      </c>
      <c r="C240" t="s">
        <v>29</v>
      </c>
      <c r="D240" t="s">
        <v>618</v>
      </c>
      <c r="E240" t="s">
        <v>619</v>
      </c>
      <c r="F240" t="e">
        <f>--ds-btn-icon-success-hover-text</f>
        <v>#NAME?</v>
      </c>
      <c r="G240" t="s">
        <v>37</v>
      </c>
      <c r="H240" t="s">
        <v>37</v>
      </c>
      <c r="I240" t="s">
        <v>32</v>
      </c>
      <c r="J240" t="s">
        <v>24</v>
      </c>
      <c r="K240" t="s">
        <v>572</v>
      </c>
      <c r="L240" t="s">
        <v>139</v>
      </c>
      <c r="M240" t="s">
        <v>49</v>
      </c>
      <c r="N240" t="s">
        <v>611</v>
      </c>
      <c r="O240">
        <v>1</v>
      </c>
      <c r="P240">
        <v>1</v>
      </c>
      <c r="Q240">
        <v>0</v>
      </c>
      <c r="R240" s="1">
        <v>46178.341886574075</v>
      </c>
      <c r="S240" s="1">
        <v>46205.611666666664</v>
      </c>
    </row>
    <row r="241" spans="1:19" x14ac:dyDescent="0.25">
      <c r="A241">
        <v>2010104205</v>
      </c>
      <c r="B241" t="s">
        <v>28</v>
      </c>
      <c r="C241" t="s">
        <v>29</v>
      </c>
      <c r="D241" t="s">
        <v>620</v>
      </c>
      <c r="E241" t="s">
        <v>621</v>
      </c>
      <c r="F241" t="e">
        <f>--ds-btn-icon-success-hover-border</f>
        <v>#NAME?</v>
      </c>
      <c r="G241" t="s">
        <v>622</v>
      </c>
      <c r="H241" t="s">
        <v>622</v>
      </c>
      <c r="I241" t="s">
        <v>32</v>
      </c>
      <c r="J241" t="s">
        <v>24</v>
      </c>
      <c r="K241" t="s">
        <v>572</v>
      </c>
      <c r="L241" t="s">
        <v>139</v>
      </c>
      <c r="M241" t="s">
        <v>53</v>
      </c>
      <c r="N241" t="s">
        <v>611</v>
      </c>
      <c r="O241">
        <v>1</v>
      </c>
      <c r="P241">
        <v>1</v>
      </c>
      <c r="Q241">
        <v>0</v>
      </c>
      <c r="R241" s="1">
        <v>46178.341886574075</v>
      </c>
      <c r="S241" s="1">
        <v>46205.611666666664</v>
      </c>
    </row>
    <row r="242" spans="1:19" x14ac:dyDescent="0.25">
      <c r="A242">
        <v>2010104206</v>
      </c>
      <c r="B242" t="s">
        <v>28</v>
      </c>
      <c r="C242" t="s">
        <v>29</v>
      </c>
      <c r="D242" t="s">
        <v>623</v>
      </c>
      <c r="E242" t="s">
        <v>624</v>
      </c>
      <c r="F242" t="e">
        <f>--ds-btn-icon-success-disabled-bg</f>
        <v>#NAME?</v>
      </c>
      <c r="G242" t="s">
        <v>461</v>
      </c>
      <c r="H242" t="s">
        <v>461</v>
      </c>
      <c r="I242" t="s">
        <v>32</v>
      </c>
      <c r="J242" t="s">
        <v>24</v>
      </c>
      <c r="K242" t="s">
        <v>572</v>
      </c>
      <c r="L242" t="s">
        <v>139</v>
      </c>
      <c r="M242" t="s">
        <v>57</v>
      </c>
      <c r="N242" t="s">
        <v>611</v>
      </c>
      <c r="O242">
        <v>1</v>
      </c>
      <c r="P242">
        <v>1</v>
      </c>
      <c r="Q242">
        <v>0</v>
      </c>
      <c r="R242" s="1">
        <v>46178.341886574075</v>
      </c>
      <c r="S242" s="1">
        <v>46205.611666666664</v>
      </c>
    </row>
    <row r="243" spans="1:19" x14ac:dyDescent="0.25">
      <c r="A243">
        <v>2010104207</v>
      </c>
      <c r="B243" t="s">
        <v>28</v>
      </c>
      <c r="C243" t="s">
        <v>29</v>
      </c>
      <c r="D243" t="s">
        <v>625</v>
      </c>
      <c r="E243" t="s">
        <v>626</v>
      </c>
      <c r="F243" t="e">
        <f>--ds-btn-icon-success-disabled-text</f>
        <v>#NAME?</v>
      </c>
      <c r="G243" t="s">
        <v>60</v>
      </c>
      <c r="H243" t="s">
        <v>60</v>
      </c>
      <c r="I243" t="s">
        <v>32</v>
      </c>
      <c r="J243" t="s">
        <v>24</v>
      </c>
      <c r="K243" t="s">
        <v>572</v>
      </c>
      <c r="L243" t="s">
        <v>139</v>
      </c>
      <c r="M243" t="s">
        <v>61</v>
      </c>
      <c r="N243" t="s">
        <v>611</v>
      </c>
      <c r="O243">
        <v>1</v>
      </c>
      <c r="P243">
        <v>1</v>
      </c>
      <c r="Q243">
        <v>0</v>
      </c>
      <c r="R243" s="1">
        <v>46178.341886574075</v>
      </c>
      <c r="S243" s="1">
        <v>46205.611666666664</v>
      </c>
    </row>
    <row r="244" spans="1:19" x14ac:dyDescent="0.25">
      <c r="A244">
        <v>2010104208</v>
      </c>
      <c r="B244" t="s">
        <v>28</v>
      </c>
      <c r="C244" t="s">
        <v>29</v>
      </c>
      <c r="D244" t="s">
        <v>627</v>
      </c>
      <c r="E244" t="s">
        <v>628</v>
      </c>
      <c r="F244" t="e">
        <f>--ds-btn-icon-success-disabled-border</f>
        <v>#NAME?</v>
      </c>
      <c r="G244" t="s">
        <v>470</v>
      </c>
      <c r="H244" t="s">
        <v>470</v>
      </c>
      <c r="I244" t="s">
        <v>32</v>
      </c>
      <c r="J244" t="s">
        <v>24</v>
      </c>
      <c r="K244" t="s">
        <v>572</v>
      </c>
      <c r="L244" t="s">
        <v>139</v>
      </c>
      <c r="M244" t="s">
        <v>65</v>
      </c>
      <c r="N244" t="s">
        <v>611</v>
      </c>
      <c r="O244">
        <v>1</v>
      </c>
      <c r="P244">
        <v>1</v>
      </c>
      <c r="Q244">
        <v>0</v>
      </c>
      <c r="R244" s="1">
        <v>46178.341886574075</v>
      </c>
      <c r="S244" s="1">
        <v>46205.611666666664</v>
      </c>
    </row>
    <row r="245" spans="1:19" x14ac:dyDescent="0.25">
      <c r="A245">
        <v>2010104300</v>
      </c>
      <c r="B245" t="s">
        <v>28</v>
      </c>
      <c r="C245" t="s">
        <v>29</v>
      </c>
      <c r="D245" t="s">
        <v>629</v>
      </c>
      <c r="E245" t="s">
        <v>630</v>
      </c>
      <c r="F245" t="e">
        <f>--ds-btn-icon-danger-bg</f>
        <v>#NAME?</v>
      </c>
      <c r="G245" t="s">
        <v>160</v>
      </c>
      <c r="H245" t="s">
        <v>160</v>
      </c>
      <c r="I245" t="s">
        <v>32</v>
      </c>
      <c r="J245" t="s">
        <v>24</v>
      </c>
      <c r="K245" t="s">
        <v>572</v>
      </c>
      <c r="L245" t="s">
        <v>161</v>
      </c>
      <c r="M245" t="s">
        <v>26</v>
      </c>
      <c r="N245" t="s">
        <v>631</v>
      </c>
      <c r="O245">
        <v>1</v>
      </c>
      <c r="P245">
        <v>1</v>
      </c>
      <c r="Q245">
        <v>0</v>
      </c>
      <c r="R245" s="1">
        <v>46178.344629629632</v>
      </c>
      <c r="S245" s="1">
        <v>46205.611666666664</v>
      </c>
    </row>
    <row r="246" spans="1:19" x14ac:dyDescent="0.25">
      <c r="A246">
        <v>2010104301</v>
      </c>
      <c r="B246" t="s">
        <v>28</v>
      </c>
      <c r="C246" t="s">
        <v>29</v>
      </c>
      <c r="D246" t="s">
        <v>632</v>
      </c>
      <c r="E246" t="s">
        <v>633</v>
      </c>
      <c r="F246" t="e">
        <f>--ds-btn-icon-danger-text</f>
        <v>#NAME?</v>
      </c>
      <c r="G246" t="s">
        <v>37</v>
      </c>
      <c r="H246" t="s">
        <v>37</v>
      </c>
      <c r="I246" t="s">
        <v>32</v>
      </c>
      <c r="J246" t="s">
        <v>24</v>
      </c>
      <c r="K246" t="s">
        <v>572</v>
      </c>
      <c r="L246" t="s">
        <v>161</v>
      </c>
      <c r="M246" t="s">
        <v>38</v>
      </c>
      <c r="N246" t="s">
        <v>631</v>
      </c>
      <c r="O246">
        <v>1</v>
      </c>
      <c r="P246">
        <v>1</v>
      </c>
      <c r="Q246">
        <v>0</v>
      </c>
      <c r="R246" s="1">
        <v>46178.344629629632</v>
      </c>
      <c r="S246" s="1">
        <v>46205.611666666664</v>
      </c>
    </row>
    <row r="247" spans="1:19" x14ac:dyDescent="0.25">
      <c r="A247">
        <v>2010104302</v>
      </c>
      <c r="B247" t="s">
        <v>28</v>
      </c>
      <c r="C247" t="s">
        <v>29</v>
      </c>
      <c r="D247" t="s">
        <v>634</v>
      </c>
      <c r="E247" t="s">
        <v>635</v>
      </c>
      <c r="F247" t="e">
        <f>--ds-btn-icon-danger-border</f>
        <v>#NAME?</v>
      </c>
      <c r="G247" t="s">
        <v>160</v>
      </c>
      <c r="H247" t="s">
        <v>160</v>
      </c>
      <c r="I247" t="s">
        <v>32</v>
      </c>
      <c r="J247" t="s">
        <v>24</v>
      </c>
      <c r="K247" t="s">
        <v>572</v>
      </c>
      <c r="L247" t="s">
        <v>161</v>
      </c>
      <c r="M247" t="s">
        <v>42</v>
      </c>
      <c r="N247" t="s">
        <v>631</v>
      </c>
      <c r="O247">
        <v>1</v>
      </c>
      <c r="P247">
        <v>1</v>
      </c>
      <c r="Q247">
        <v>0</v>
      </c>
      <c r="R247" s="1">
        <v>46178.344629629632</v>
      </c>
      <c r="S247" s="1">
        <v>46205.611666666664</v>
      </c>
    </row>
    <row r="248" spans="1:19" x14ac:dyDescent="0.25">
      <c r="A248">
        <v>2010104303</v>
      </c>
      <c r="B248" t="s">
        <v>28</v>
      </c>
      <c r="C248" t="s">
        <v>29</v>
      </c>
      <c r="D248" t="s">
        <v>636</v>
      </c>
      <c r="E248" t="s">
        <v>637</v>
      </c>
      <c r="F248" t="e">
        <f>--ds-btn-icon-danger-hover-bg</f>
        <v>#NAME?</v>
      </c>
      <c r="G248" t="s">
        <v>169</v>
      </c>
      <c r="H248" t="s">
        <v>169</v>
      </c>
      <c r="I248" t="s">
        <v>32</v>
      </c>
      <c r="J248" t="s">
        <v>24</v>
      </c>
      <c r="K248" t="s">
        <v>572</v>
      </c>
      <c r="L248" t="s">
        <v>161</v>
      </c>
      <c r="M248" t="s">
        <v>46</v>
      </c>
      <c r="N248" t="s">
        <v>631</v>
      </c>
      <c r="O248">
        <v>1</v>
      </c>
      <c r="P248">
        <v>1</v>
      </c>
      <c r="Q248">
        <v>0</v>
      </c>
      <c r="R248" s="1">
        <v>46178.344629629632</v>
      </c>
      <c r="S248" s="1">
        <v>46205.611666666664</v>
      </c>
    </row>
    <row r="249" spans="1:19" x14ac:dyDescent="0.25">
      <c r="A249">
        <v>2010104304</v>
      </c>
      <c r="B249" t="s">
        <v>28</v>
      </c>
      <c r="C249" t="s">
        <v>29</v>
      </c>
      <c r="D249" t="s">
        <v>638</v>
      </c>
      <c r="E249" t="s">
        <v>639</v>
      </c>
      <c r="F249" t="e">
        <f>--ds-btn-icon-danger-hover-text</f>
        <v>#NAME?</v>
      </c>
      <c r="G249" t="s">
        <v>37</v>
      </c>
      <c r="H249" t="s">
        <v>37</v>
      </c>
      <c r="I249" t="s">
        <v>32</v>
      </c>
      <c r="J249" t="s">
        <v>24</v>
      </c>
      <c r="K249" t="s">
        <v>572</v>
      </c>
      <c r="L249" t="s">
        <v>161</v>
      </c>
      <c r="M249" t="s">
        <v>49</v>
      </c>
      <c r="N249" t="s">
        <v>631</v>
      </c>
      <c r="O249">
        <v>1</v>
      </c>
      <c r="P249">
        <v>1</v>
      </c>
      <c r="Q249">
        <v>0</v>
      </c>
      <c r="R249" s="1">
        <v>46178.344629629632</v>
      </c>
      <c r="S249" s="1">
        <v>46205.611666666664</v>
      </c>
    </row>
    <row r="250" spans="1:19" x14ac:dyDescent="0.25">
      <c r="A250">
        <v>2010104305</v>
      </c>
      <c r="B250" t="s">
        <v>28</v>
      </c>
      <c r="C250" t="s">
        <v>29</v>
      </c>
      <c r="D250" t="s">
        <v>640</v>
      </c>
      <c r="E250" t="s">
        <v>641</v>
      </c>
      <c r="F250" t="e">
        <f>--ds-btn-icon-danger-hover-border</f>
        <v>#NAME?</v>
      </c>
      <c r="G250" t="s">
        <v>642</v>
      </c>
      <c r="H250" t="s">
        <v>642</v>
      </c>
      <c r="I250" t="s">
        <v>32</v>
      </c>
      <c r="J250" t="s">
        <v>24</v>
      </c>
      <c r="K250" t="s">
        <v>572</v>
      </c>
      <c r="L250" t="s">
        <v>161</v>
      </c>
      <c r="M250" t="s">
        <v>53</v>
      </c>
      <c r="N250" t="s">
        <v>631</v>
      </c>
      <c r="O250">
        <v>1</v>
      </c>
      <c r="P250">
        <v>1</v>
      </c>
      <c r="Q250">
        <v>0</v>
      </c>
      <c r="R250" s="1">
        <v>46178.344629629632</v>
      </c>
      <c r="S250" s="1">
        <v>46205.611666666664</v>
      </c>
    </row>
    <row r="251" spans="1:19" x14ac:dyDescent="0.25">
      <c r="A251">
        <v>2010104306</v>
      </c>
      <c r="B251" t="s">
        <v>28</v>
      </c>
      <c r="C251" t="s">
        <v>29</v>
      </c>
      <c r="D251" t="s">
        <v>643</v>
      </c>
      <c r="E251" t="s">
        <v>644</v>
      </c>
      <c r="F251" t="e">
        <f>--ds-btn-icon-danger-disabled-bg</f>
        <v>#NAME?</v>
      </c>
      <c r="G251" t="s">
        <v>484</v>
      </c>
      <c r="H251" t="s">
        <v>484</v>
      </c>
      <c r="I251" t="s">
        <v>32</v>
      </c>
      <c r="J251" t="s">
        <v>24</v>
      </c>
      <c r="K251" t="s">
        <v>572</v>
      </c>
      <c r="L251" t="s">
        <v>161</v>
      </c>
      <c r="M251" t="s">
        <v>57</v>
      </c>
      <c r="N251" t="s">
        <v>631</v>
      </c>
      <c r="O251">
        <v>1</v>
      </c>
      <c r="P251">
        <v>1</v>
      </c>
      <c r="Q251">
        <v>0</v>
      </c>
      <c r="R251" s="1">
        <v>46178.344629629632</v>
      </c>
      <c r="S251" s="1">
        <v>46205.611666666664</v>
      </c>
    </row>
    <row r="252" spans="1:19" x14ac:dyDescent="0.25">
      <c r="A252">
        <v>2010104307</v>
      </c>
      <c r="B252" t="s">
        <v>28</v>
      </c>
      <c r="C252" t="s">
        <v>29</v>
      </c>
      <c r="D252" t="s">
        <v>645</v>
      </c>
      <c r="E252" t="s">
        <v>646</v>
      </c>
      <c r="F252" t="e">
        <f>--ds-btn-icon-danger-disabled-text</f>
        <v>#NAME?</v>
      </c>
      <c r="G252" t="s">
        <v>60</v>
      </c>
      <c r="H252" t="s">
        <v>60</v>
      </c>
      <c r="I252" t="s">
        <v>32</v>
      </c>
      <c r="J252" t="s">
        <v>24</v>
      </c>
      <c r="K252" t="s">
        <v>572</v>
      </c>
      <c r="L252" t="s">
        <v>161</v>
      </c>
      <c r="M252" t="s">
        <v>61</v>
      </c>
      <c r="N252" t="s">
        <v>631</v>
      </c>
      <c r="O252">
        <v>1</v>
      </c>
      <c r="P252">
        <v>1</v>
      </c>
      <c r="Q252">
        <v>0</v>
      </c>
      <c r="R252" s="1">
        <v>46178.344629629632</v>
      </c>
      <c r="S252" s="1">
        <v>46205.611666666664</v>
      </c>
    </row>
    <row r="253" spans="1:19" x14ac:dyDescent="0.25">
      <c r="A253">
        <v>2010104308</v>
      </c>
      <c r="B253" t="s">
        <v>28</v>
      </c>
      <c r="C253" t="s">
        <v>29</v>
      </c>
      <c r="D253" t="s">
        <v>647</v>
      </c>
      <c r="E253" t="s">
        <v>648</v>
      </c>
      <c r="F253" t="e">
        <f>--ds-btn-icon-danger-disabled-border</f>
        <v>#NAME?</v>
      </c>
      <c r="G253" t="s">
        <v>432</v>
      </c>
      <c r="H253" t="s">
        <v>432</v>
      </c>
      <c r="I253" t="s">
        <v>32</v>
      </c>
      <c r="J253" t="s">
        <v>24</v>
      </c>
      <c r="K253" t="s">
        <v>572</v>
      </c>
      <c r="L253" t="s">
        <v>161</v>
      </c>
      <c r="M253" t="s">
        <v>65</v>
      </c>
      <c r="N253" t="s">
        <v>631</v>
      </c>
      <c r="O253">
        <v>1</v>
      </c>
      <c r="P253">
        <v>1</v>
      </c>
      <c r="Q253">
        <v>0</v>
      </c>
      <c r="R253" s="1">
        <v>46178.344629629632</v>
      </c>
      <c r="S253" s="1">
        <v>46205.611666666664</v>
      </c>
    </row>
    <row r="254" spans="1:19" x14ac:dyDescent="0.25">
      <c r="A254">
        <v>2010104400</v>
      </c>
      <c r="B254" t="s">
        <v>28</v>
      </c>
      <c r="C254" t="s">
        <v>29</v>
      </c>
      <c r="D254" t="s">
        <v>649</v>
      </c>
      <c r="E254" t="s">
        <v>650</v>
      </c>
      <c r="F254" t="e">
        <f>--ds-btn-icon-warning-bg</f>
        <v>#NAME?</v>
      </c>
      <c r="G254" t="s">
        <v>182</v>
      </c>
      <c r="H254" t="s">
        <v>182</v>
      </c>
      <c r="I254" t="s">
        <v>32</v>
      </c>
      <c r="J254" t="s">
        <v>24</v>
      </c>
      <c r="K254" t="s">
        <v>572</v>
      </c>
      <c r="L254" t="s">
        <v>183</v>
      </c>
      <c r="M254" t="s">
        <v>26</v>
      </c>
      <c r="N254" t="s">
        <v>651</v>
      </c>
      <c r="O254">
        <v>1</v>
      </c>
      <c r="P254">
        <v>1</v>
      </c>
      <c r="Q254">
        <v>0</v>
      </c>
      <c r="R254" s="1">
        <v>46178.373159722221</v>
      </c>
      <c r="S254" s="1">
        <v>46205.611666666664</v>
      </c>
    </row>
    <row r="255" spans="1:19" x14ac:dyDescent="0.25">
      <c r="A255">
        <v>2010104401</v>
      </c>
      <c r="B255" t="s">
        <v>28</v>
      </c>
      <c r="C255" t="s">
        <v>29</v>
      </c>
      <c r="D255" t="s">
        <v>652</v>
      </c>
      <c r="E255" t="s">
        <v>653</v>
      </c>
      <c r="F255" t="e">
        <f>--ds-btn-icon-warning-text</f>
        <v>#NAME?</v>
      </c>
      <c r="G255" t="s">
        <v>117</v>
      </c>
      <c r="H255" t="s">
        <v>117</v>
      </c>
      <c r="I255" t="s">
        <v>32</v>
      </c>
      <c r="J255" t="s">
        <v>24</v>
      </c>
      <c r="K255" t="s">
        <v>572</v>
      </c>
      <c r="L255" t="s">
        <v>183</v>
      </c>
      <c r="M255" t="s">
        <v>38</v>
      </c>
      <c r="N255" t="s">
        <v>651</v>
      </c>
      <c r="O255">
        <v>1</v>
      </c>
      <c r="P255">
        <v>1</v>
      </c>
      <c r="Q255">
        <v>0</v>
      </c>
      <c r="R255" s="1">
        <v>46178.373159722221</v>
      </c>
      <c r="S255" s="1">
        <v>46205.611666666664</v>
      </c>
    </row>
    <row r="256" spans="1:19" x14ac:dyDescent="0.25">
      <c r="A256">
        <v>2010104402</v>
      </c>
      <c r="B256" t="s">
        <v>28</v>
      </c>
      <c r="C256" t="s">
        <v>29</v>
      </c>
      <c r="D256" t="s">
        <v>654</v>
      </c>
      <c r="E256" t="s">
        <v>655</v>
      </c>
      <c r="F256" t="e">
        <f>--ds-btn-icon-warning-border</f>
        <v>#NAME?</v>
      </c>
      <c r="G256" t="s">
        <v>182</v>
      </c>
      <c r="H256" t="s">
        <v>182</v>
      </c>
      <c r="I256" t="s">
        <v>32</v>
      </c>
      <c r="J256" t="s">
        <v>24</v>
      </c>
      <c r="K256" t="s">
        <v>572</v>
      </c>
      <c r="L256" t="s">
        <v>183</v>
      </c>
      <c r="M256" t="s">
        <v>42</v>
      </c>
      <c r="N256" t="s">
        <v>651</v>
      </c>
      <c r="O256">
        <v>1</v>
      </c>
      <c r="P256">
        <v>1</v>
      </c>
      <c r="Q256">
        <v>0</v>
      </c>
      <c r="R256" s="1">
        <v>46178.373159722221</v>
      </c>
      <c r="S256" s="1">
        <v>46205.611666666664</v>
      </c>
    </row>
    <row r="257" spans="1:19" x14ac:dyDescent="0.25">
      <c r="A257">
        <v>2010104403</v>
      </c>
      <c r="B257" t="s">
        <v>28</v>
      </c>
      <c r="C257" t="s">
        <v>29</v>
      </c>
      <c r="D257" t="s">
        <v>656</v>
      </c>
      <c r="E257" t="s">
        <v>657</v>
      </c>
      <c r="F257" t="e">
        <f>--ds-btn-icon-warning-hover-bg</f>
        <v>#NAME?</v>
      </c>
      <c r="G257" t="s">
        <v>191</v>
      </c>
      <c r="H257" t="s">
        <v>191</v>
      </c>
      <c r="I257" t="s">
        <v>32</v>
      </c>
      <c r="J257" t="s">
        <v>24</v>
      </c>
      <c r="K257" t="s">
        <v>572</v>
      </c>
      <c r="L257" t="s">
        <v>183</v>
      </c>
      <c r="M257" t="s">
        <v>46</v>
      </c>
      <c r="N257" t="s">
        <v>651</v>
      </c>
      <c r="O257">
        <v>1</v>
      </c>
      <c r="P257">
        <v>1</v>
      </c>
      <c r="Q257">
        <v>0</v>
      </c>
      <c r="R257" s="1">
        <v>46178.373159722221</v>
      </c>
      <c r="S257" s="1">
        <v>46205.611666666664</v>
      </c>
    </row>
    <row r="258" spans="1:19" x14ac:dyDescent="0.25">
      <c r="A258">
        <v>2010104404</v>
      </c>
      <c r="B258" t="s">
        <v>28</v>
      </c>
      <c r="C258" t="s">
        <v>29</v>
      </c>
      <c r="D258" t="s">
        <v>658</v>
      </c>
      <c r="E258" t="s">
        <v>659</v>
      </c>
      <c r="F258" t="e">
        <f>--ds-btn-icon-warning-hover-text</f>
        <v>#NAME?</v>
      </c>
      <c r="G258" t="s">
        <v>37</v>
      </c>
      <c r="H258" t="s">
        <v>37</v>
      </c>
      <c r="I258" t="s">
        <v>32</v>
      </c>
      <c r="J258" t="s">
        <v>24</v>
      </c>
      <c r="K258" t="s">
        <v>572</v>
      </c>
      <c r="L258" t="s">
        <v>183</v>
      </c>
      <c r="M258" t="s">
        <v>49</v>
      </c>
      <c r="N258" t="s">
        <v>651</v>
      </c>
      <c r="O258">
        <v>1</v>
      </c>
      <c r="P258">
        <v>1</v>
      </c>
      <c r="Q258">
        <v>0</v>
      </c>
      <c r="R258" s="1">
        <v>46178.373159722221</v>
      </c>
      <c r="S258" s="1">
        <v>46205.611666666664</v>
      </c>
    </row>
    <row r="259" spans="1:19" x14ac:dyDescent="0.25">
      <c r="A259">
        <v>2010104405</v>
      </c>
      <c r="B259" t="s">
        <v>28</v>
      </c>
      <c r="C259" t="s">
        <v>29</v>
      </c>
      <c r="D259" t="s">
        <v>660</v>
      </c>
      <c r="E259" t="s">
        <v>661</v>
      </c>
      <c r="F259" t="e">
        <f>--ds-btn-icon-warning-hover-border</f>
        <v>#NAME?</v>
      </c>
      <c r="G259" t="s">
        <v>662</v>
      </c>
      <c r="H259" t="s">
        <v>662</v>
      </c>
      <c r="I259" t="s">
        <v>32</v>
      </c>
      <c r="J259" t="s">
        <v>24</v>
      </c>
      <c r="K259" t="s">
        <v>572</v>
      </c>
      <c r="L259" t="s">
        <v>183</v>
      </c>
      <c r="M259" t="s">
        <v>53</v>
      </c>
      <c r="N259" t="s">
        <v>651</v>
      </c>
      <c r="O259">
        <v>1</v>
      </c>
      <c r="P259">
        <v>1</v>
      </c>
      <c r="Q259">
        <v>0</v>
      </c>
      <c r="R259" s="1">
        <v>46178.373159722221</v>
      </c>
      <c r="S259" s="1">
        <v>46205.611666666664</v>
      </c>
    </row>
    <row r="260" spans="1:19" x14ac:dyDescent="0.25">
      <c r="A260">
        <v>2010104406</v>
      </c>
      <c r="B260" t="s">
        <v>28</v>
      </c>
      <c r="C260" t="s">
        <v>29</v>
      </c>
      <c r="D260" t="s">
        <v>663</v>
      </c>
      <c r="E260" t="s">
        <v>664</v>
      </c>
      <c r="F260" t="e">
        <f>--ds-btn-icon-warning-disabled-bg</f>
        <v>#NAME?</v>
      </c>
      <c r="G260" t="s">
        <v>507</v>
      </c>
      <c r="H260" t="s">
        <v>507</v>
      </c>
      <c r="I260" t="s">
        <v>32</v>
      </c>
      <c r="J260" t="s">
        <v>24</v>
      </c>
      <c r="K260" t="s">
        <v>572</v>
      </c>
      <c r="L260" t="s">
        <v>183</v>
      </c>
      <c r="M260" t="s">
        <v>57</v>
      </c>
      <c r="N260" t="s">
        <v>651</v>
      </c>
      <c r="O260">
        <v>1</v>
      </c>
      <c r="P260">
        <v>1</v>
      </c>
      <c r="Q260">
        <v>0</v>
      </c>
      <c r="R260" s="1">
        <v>46178.373159722221</v>
      </c>
      <c r="S260" s="1">
        <v>46205.611666666664</v>
      </c>
    </row>
    <row r="261" spans="1:19" x14ac:dyDescent="0.25">
      <c r="A261">
        <v>2010104407</v>
      </c>
      <c r="B261" t="s">
        <v>28</v>
      </c>
      <c r="C261" t="s">
        <v>29</v>
      </c>
      <c r="D261" t="s">
        <v>665</v>
      </c>
      <c r="E261" t="s">
        <v>666</v>
      </c>
      <c r="F261" t="e">
        <f>--ds-btn-icon-warning-disabled-text</f>
        <v>#NAME?</v>
      </c>
      <c r="G261" t="s">
        <v>60</v>
      </c>
      <c r="H261" t="s">
        <v>60</v>
      </c>
      <c r="I261" t="s">
        <v>32</v>
      </c>
      <c r="J261" t="s">
        <v>24</v>
      </c>
      <c r="K261" t="s">
        <v>572</v>
      </c>
      <c r="L261" t="s">
        <v>183</v>
      </c>
      <c r="M261" t="s">
        <v>61</v>
      </c>
      <c r="N261" t="s">
        <v>651</v>
      </c>
      <c r="O261">
        <v>1</v>
      </c>
      <c r="P261">
        <v>1</v>
      </c>
      <c r="Q261">
        <v>0</v>
      </c>
      <c r="R261" s="1">
        <v>46178.373159722221</v>
      </c>
      <c r="S261" s="1">
        <v>46205.611666666664</v>
      </c>
    </row>
    <row r="262" spans="1:19" x14ac:dyDescent="0.25">
      <c r="A262">
        <v>2010104408</v>
      </c>
      <c r="B262" t="s">
        <v>28</v>
      </c>
      <c r="C262" t="s">
        <v>29</v>
      </c>
      <c r="D262" t="s">
        <v>667</v>
      </c>
      <c r="E262" t="s">
        <v>668</v>
      </c>
      <c r="F262" t="e">
        <f>--ds-btn-icon-warning-disabled-border</f>
        <v>#NAME?</v>
      </c>
      <c r="G262" t="s">
        <v>432</v>
      </c>
      <c r="H262" t="s">
        <v>432</v>
      </c>
      <c r="I262" t="s">
        <v>32</v>
      </c>
      <c r="J262" t="s">
        <v>24</v>
      </c>
      <c r="K262" t="s">
        <v>572</v>
      </c>
      <c r="L262" t="s">
        <v>183</v>
      </c>
      <c r="M262" t="s">
        <v>65</v>
      </c>
      <c r="N262" t="s">
        <v>651</v>
      </c>
      <c r="O262">
        <v>1</v>
      </c>
      <c r="P262">
        <v>1</v>
      </c>
      <c r="Q262">
        <v>0</v>
      </c>
      <c r="R262" s="1">
        <v>46178.373159722221</v>
      </c>
      <c r="S262" s="1">
        <v>46205.611666666664</v>
      </c>
    </row>
    <row r="263" spans="1:19" x14ac:dyDescent="0.25">
      <c r="A263">
        <v>2010104500</v>
      </c>
      <c r="B263" t="s">
        <v>28</v>
      </c>
      <c r="C263" t="s">
        <v>29</v>
      </c>
      <c r="D263" t="s">
        <v>669</v>
      </c>
      <c r="E263" t="s">
        <v>670</v>
      </c>
      <c r="F263" t="e">
        <f>--ds-btn-icon-info-bg</f>
        <v>#NAME?</v>
      </c>
      <c r="G263" t="s">
        <v>204</v>
      </c>
      <c r="H263" t="s">
        <v>204</v>
      </c>
      <c r="I263" t="s">
        <v>32</v>
      </c>
      <c r="J263" t="s">
        <v>24</v>
      </c>
      <c r="K263" t="s">
        <v>572</v>
      </c>
      <c r="L263" t="s">
        <v>205</v>
      </c>
      <c r="M263" t="s">
        <v>26</v>
      </c>
      <c r="N263" t="s">
        <v>671</v>
      </c>
      <c r="O263">
        <v>1</v>
      </c>
      <c r="P263">
        <v>1</v>
      </c>
      <c r="Q263">
        <v>0</v>
      </c>
      <c r="R263" s="1">
        <v>46178.432916666665</v>
      </c>
      <c r="S263" s="1">
        <v>46205.611666666664</v>
      </c>
    </row>
    <row r="264" spans="1:19" x14ac:dyDescent="0.25">
      <c r="A264">
        <v>2010104501</v>
      </c>
      <c r="B264" t="s">
        <v>28</v>
      </c>
      <c r="C264" t="s">
        <v>29</v>
      </c>
      <c r="D264" t="s">
        <v>672</v>
      </c>
      <c r="E264" t="s">
        <v>673</v>
      </c>
      <c r="F264" t="e">
        <f>--ds-btn-icon-info-text</f>
        <v>#NAME?</v>
      </c>
      <c r="G264" t="s">
        <v>117</v>
      </c>
      <c r="H264" t="s">
        <v>117</v>
      </c>
      <c r="I264" t="s">
        <v>32</v>
      </c>
      <c r="J264" t="s">
        <v>24</v>
      </c>
      <c r="K264" t="s">
        <v>572</v>
      </c>
      <c r="L264" t="s">
        <v>205</v>
      </c>
      <c r="M264" t="s">
        <v>38</v>
      </c>
      <c r="N264" t="s">
        <v>671</v>
      </c>
      <c r="O264">
        <v>1</v>
      </c>
      <c r="P264">
        <v>1</v>
      </c>
      <c r="Q264">
        <v>0</v>
      </c>
      <c r="R264" s="1">
        <v>46178.432916666665</v>
      </c>
      <c r="S264" s="1">
        <v>46205.611666666664</v>
      </c>
    </row>
    <row r="265" spans="1:19" x14ac:dyDescent="0.25">
      <c r="A265">
        <v>2010104502</v>
      </c>
      <c r="B265" t="s">
        <v>28</v>
      </c>
      <c r="C265" t="s">
        <v>29</v>
      </c>
      <c r="D265" t="s">
        <v>674</v>
      </c>
      <c r="E265" t="s">
        <v>675</v>
      </c>
      <c r="F265" t="e">
        <f>--ds-btn-icon-info-border</f>
        <v>#NAME?</v>
      </c>
      <c r="G265" t="s">
        <v>204</v>
      </c>
      <c r="H265" t="s">
        <v>204</v>
      </c>
      <c r="I265" t="s">
        <v>32</v>
      </c>
      <c r="J265" t="s">
        <v>24</v>
      </c>
      <c r="K265" t="s">
        <v>572</v>
      </c>
      <c r="L265" t="s">
        <v>205</v>
      </c>
      <c r="M265" t="s">
        <v>42</v>
      </c>
      <c r="N265" t="s">
        <v>671</v>
      </c>
      <c r="O265">
        <v>1</v>
      </c>
      <c r="P265">
        <v>1</v>
      </c>
      <c r="Q265">
        <v>0</v>
      </c>
      <c r="R265" s="1">
        <v>46178.432916666665</v>
      </c>
      <c r="S265" s="1">
        <v>46205.611666666664</v>
      </c>
    </row>
    <row r="266" spans="1:19" x14ac:dyDescent="0.25">
      <c r="A266">
        <v>2010104503</v>
      </c>
      <c r="B266" t="s">
        <v>28</v>
      </c>
      <c r="C266" t="s">
        <v>29</v>
      </c>
      <c r="D266" t="s">
        <v>676</v>
      </c>
      <c r="E266" t="s">
        <v>677</v>
      </c>
      <c r="F266" t="e">
        <f>--ds-btn-icon-info-hover-bg</f>
        <v>#NAME?</v>
      </c>
      <c r="G266" t="s">
        <v>213</v>
      </c>
      <c r="H266" t="s">
        <v>213</v>
      </c>
      <c r="I266" t="s">
        <v>32</v>
      </c>
      <c r="J266" t="s">
        <v>24</v>
      </c>
      <c r="K266" t="s">
        <v>572</v>
      </c>
      <c r="L266" t="s">
        <v>205</v>
      </c>
      <c r="M266" t="s">
        <v>46</v>
      </c>
      <c r="N266" t="s">
        <v>671</v>
      </c>
      <c r="O266">
        <v>1</v>
      </c>
      <c r="P266">
        <v>1</v>
      </c>
      <c r="Q266">
        <v>0</v>
      </c>
      <c r="R266" s="1">
        <v>46178.432916666665</v>
      </c>
      <c r="S266" s="1">
        <v>46205.611666666664</v>
      </c>
    </row>
    <row r="267" spans="1:19" x14ac:dyDescent="0.25">
      <c r="A267">
        <v>2010104504</v>
      </c>
      <c r="B267" t="s">
        <v>28</v>
      </c>
      <c r="C267" t="s">
        <v>29</v>
      </c>
      <c r="D267" t="s">
        <v>678</v>
      </c>
      <c r="E267" t="s">
        <v>679</v>
      </c>
      <c r="F267" t="e">
        <f>--ds-btn-icon-info-hover-text</f>
        <v>#NAME?</v>
      </c>
      <c r="G267" t="s">
        <v>37</v>
      </c>
      <c r="H267" t="s">
        <v>37</v>
      </c>
      <c r="I267" t="s">
        <v>32</v>
      </c>
      <c r="J267" t="s">
        <v>24</v>
      </c>
      <c r="K267" t="s">
        <v>572</v>
      </c>
      <c r="L267" t="s">
        <v>205</v>
      </c>
      <c r="M267" t="s">
        <v>49</v>
      </c>
      <c r="N267" t="s">
        <v>671</v>
      </c>
      <c r="O267">
        <v>1</v>
      </c>
      <c r="P267">
        <v>1</v>
      </c>
      <c r="Q267">
        <v>0</v>
      </c>
      <c r="R267" s="1">
        <v>46178.432916666665</v>
      </c>
      <c r="S267" s="1">
        <v>46205.611666666664</v>
      </c>
    </row>
    <row r="268" spans="1:19" x14ac:dyDescent="0.25">
      <c r="A268">
        <v>2010104505</v>
      </c>
      <c r="B268" t="s">
        <v>28</v>
      </c>
      <c r="C268" t="s">
        <v>29</v>
      </c>
      <c r="D268" t="s">
        <v>680</v>
      </c>
      <c r="E268" t="s">
        <v>681</v>
      </c>
      <c r="F268" t="e">
        <f>--ds-btn-icon-info-hover-border</f>
        <v>#NAME?</v>
      </c>
      <c r="G268" t="s">
        <v>682</v>
      </c>
      <c r="H268" t="s">
        <v>682</v>
      </c>
      <c r="I268" t="s">
        <v>32</v>
      </c>
      <c r="J268" t="s">
        <v>24</v>
      </c>
      <c r="K268" t="s">
        <v>572</v>
      </c>
      <c r="L268" t="s">
        <v>205</v>
      </c>
      <c r="M268" t="s">
        <v>53</v>
      </c>
      <c r="N268" t="s">
        <v>671</v>
      </c>
      <c r="O268">
        <v>1</v>
      </c>
      <c r="P268">
        <v>1</v>
      </c>
      <c r="Q268">
        <v>0</v>
      </c>
      <c r="R268" s="1">
        <v>46178.432916666665</v>
      </c>
      <c r="S268" s="1">
        <v>46205.611666666664</v>
      </c>
    </row>
    <row r="269" spans="1:19" x14ac:dyDescent="0.25">
      <c r="A269">
        <v>2010104506</v>
      </c>
      <c r="B269" t="s">
        <v>28</v>
      </c>
      <c r="C269" t="s">
        <v>29</v>
      </c>
      <c r="D269" t="s">
        <v>683</v>
      </c>
      <c r="E269" t="s">
        <v>684</v>
      </c>
      <c r="F269" t="e">
        <f>--ds-btn-icon-info-disabled-bg</f>
        <v>#NAME?</v>
      </c>
      <c r="G269" t="s">
        <v>530</v>
      </c>
      <c r="H269" t="s">
        <v>530</v>
      </c>
      <c r="I269" t="s">
        <v>32</v>
      </c>
      <c r="J269" t="s">
        <v>24</v>
      </c>
      <c r="K269" t="s">
        <v>572</v>
      </c>
      <c r="L269" t="s">
        <v>205</v>
      </c>
      <c r="M269" t="s">
        <v>57</v>
      </c>
      <c r="N269" t="s">
        <v>671</v>
      </c>
      <c r="O269">
        <v>1</v>
      </c>
      <c r="P269">
        <v>1</v>
      </c>
      <c r="Q269">
        <v>0</v>
      </c>
      <c r="R269" s="1">
        <v>46178.432916666665</v>
      </c>
      <c r="S269" s="1">
        <v>46205.611666666664</v>
      </c>
    </row>
    <row r="270" spans="1:19" x14ac:dyDescent="0.25">
      <c r="A270">
        <v>2010104507</v>
      </c>
      <c r="B270" t="s">
        <v>28</v>
      </c>
      <c r="C270" t="s">
        <v>29</v>
      </c>
      <c r="D270" t="s">
        <v>685</v>
      </c>
      <c r="E270" t="s">
        <v>686</v>
      </c>
      <c r="F270" t="e">
        <f>--ds-btn-icon-info-disabled-text</f>
        <v>#NAME?</v>
      </c>
      <c r="G270" t="s">
        <v>60</v>
      </c>
      <c r="H270" t="s">
        <v>60</v>
      </c>
      <c r="I270" t="s">
        <v>32</v>
      </c>
      <c r="J270" t="s">
        <v>24</v>
      </c>
      <c r="K270" t="s">
        <v>572</v>
      </c>
      <c r="L270" t="s">
        <v>205</v>
      </c>
      <c r="M270" t="s">
        <v>61</v>
      </c>
      <c r="N270" t="s">
        <v>671</v>
      </c>
      <c r="O270">
        <v>1</v>
      </c>
      <c r="P270">
        <v>1</v>
      </c>
      <c r="Q270">
        <v>0</v>
      </c>
      <c r="R270" s="1">
        <v>46178.432916666665</v>
      </c>
      <c r="S270" s="1">
        <v>46205.611666666664</v>
      </c>
    </row>
    <row r="271" spans="1:19" x14ac:dyDescent="0.25">
      <c r="A271">
        <v>2010104508</v>
      </c>
      <c r="B271" t="s">
        <v>28</v>
      </c>
      <c r="C271" t="s">
        <v>29</v>
      </c>
      <c r="D271" t="s">
        <v>687</v>
      </c>
      <c r="E271" t="s">
        <v>688</v>
      </c>
      <c r="F271" t="e">
        <f>--ds-btn-icon-info-disabled-border</f>
        <v>#NAME?</v>
      </c>
      <c r="G271" t="s">
        <v>539</v>
      </c>
      <c r="H271" t="s">
        <v>539</v>
      </c>
      <c r="I271" t="s">
        <v>32</v>
      </c>
      <c r="J271" t="s">
        <v>24</v>
      </c>
      <c r="K271" t="s">
        <v>572</v>
      </c>
      <c r="L271" t="s">
        <v>205</v>
      </c>
      <c r="M271" t="s">
        <v>65</v>
      </c>
      <c r="N271" t="s">
        <v>671</v>
      </c>
      <c r="O271">
        <v>1</v>
      </c>
      <c r="P271">
        <v>1</v>
      </c>
      <c r="Q271">
        <v>0</v>
      </c>
      <c r="R271" s="1">
        <v>46178.432916666665</v>
      </c>
      <c r="S271" s="1">
        <v>46205.611666666664</v>
      </c>
    </row>
    <row r="272" spans="1:19" x14ac:dyDescent="0.25">
      <c r="A272">
        <v>2010104600</v>
      </c>
      <c r="B272" t="s">
        <v>28</v>
      </c>
      <c r="C272" t="s">
        <v>29</v>
      </c>
      <c r="D272" t="s">
        <v>689</v>
      </c>
      <c r="E272" t="s">
        <v>690</v>
      </c>
      <c r="F272" t="e">
        <f>--ds-btn-icon-light-bg</f>
        <v>#NAME?</v>
      </c>
      <c r="G272" t="s">
        <v>123</v>
      </c>
      <c r="H272" t="s">
        <v>123</v>
      </c>
      <c r="I272" t="s">
        <v>32</v>
      </c>
      <c r="J272" t="s">
        <v>24</v>
      </c>
      <c r="K272" t="s">
        <v>572</v>
      </c>
      <c r="L272" t="s">
        <v>226</v>
      </c>
      <c r="M272" t="s">
        <v>26</v>
      </c>
      <c r="N272" t="s">
        <v>691</v>
      </c>
      <c r="O272">
        <v>1</v>
      </c>
      <c r="P272">
        <v>1</v>
      </c>
      <c r="Q272">
        <v>0</v>
      </c>
      <c r="R272" s="1">
        <v>46178.443344907406</v>
      </c>
      <c r="S272" s="1">
        <v>46205.611666666664</v>
      </c>
    </row>
    <row r="273" spans="1:19" x14ac:dyDescent="0.25">
      <c r="A273">
        <v>2010104601</v>
      </c>
      <c r="B273" t="s">
        <v>28</v>
      </c>
      <c r="C273" t="s">
        <v>29</v>
      </c>
      <c r="D273" t="s">
        <v>692</v>
      </c>
      <c r="E273" t="s">
        <v>693</v>
      </c>
      <c r="F273" t="e">
        <f>--ds-btn-icon-light-text</f>
        <v>#NAME?</v>
      </c>
      <c r="G273" t="s">
        <v>117</v>
      </c>
      <c r="H273" t="s">
        <v>117</v>
      </c>
      <c r="I273" t="s">
        <v>32</v>
      </c>
      <c r="J273" t="s">
        <v>24</v>
      </c>
      <c r="K273" t="s">
        <v>572</v>
      </c>
      <c r="L273" t="s">
        <v>226</v>
      </c>
      <c r="M273" t="s">
        <v>38</v>
      </c>
      <c r="N273" t="s">
        <v>691</v>
      </c>
      <c r="O273">
        <v>1</v>
      </c>
      <c r="P273">
        <v>1</v>
      </c>
      <c r="Q273">
        <v>0</v>
      </c>
      <c r="R273" s="1">
        <v>46178.443344907406</v>
      </c>
      <c r="S273" s="1">
        <v>46205.611666666664</v>
      </c>
    </row>
    <row r="274" spans="1:19" x14ac:dyDescent="0.25">
      <c r="A274">
        <v>2010104602</v>
      </c>
      <c r="B274" t="s">
        <v>28</v>
      </c>
      <c r="C274" t="s">
        <v>29</v>
      </c>
      <c r="D274" t="s">
        <v>694</v>
      </c>
      <c r="E274" t="s">
        <v>695</v>
      </c>
      <c r="F274" t="e">
        <f>--ds-btn-icon-light-border</f>
        <v>#NAME?</v>
      </c>
      <c r="G274" t="s">
        <v>123</v>
      </c>
      <c r="H274" t="s">
        <v>123</v>
      </c>
      <c r="I274" t="s">
        <v>32</v>
      </c>
      <c r="J274" t="s">
        <v>24</v>
      </c>
      <c r="K274" t="s">
        <v>572</v>
      </c>
      <c r="L274" t="s">
        <v>226</v>
      </c>
      <c r="M274" t="s">
        <v>42</v>
      </c>
      <c r="N274" t="s">
        <v>691</v>
      </c>
      <c r="O274">
        <v>1</v>
      </c>
      <c r="P274">
        <v>1</v>
      </c>
      <c r="Q274">
        <v>0</v>
      </c>
      <c r="R274" s="1">
        <v>46178.443344907406</v>
      </c>
      <c r="S274" s="1">
        <v>46205.611666666664</v>
      </c>
    </row>
    <row r="275" spans="1:19" x14ac:dyDescent="0.25">
      <c r="A275">
        <v>2010104603</v>
      </c>
      <c r="B275" t="s">
        <v>28</v>
      </c>
      <c r="C275" t="s">
        <v>29</v>
      </c>
      <c r="D275" t="s">
        <v>696</v>
      </c>
      <c r="E275" t="s">
        <v>697</v>
      </c>
      <c r="F275" t="e">
        <f>--ds-btn-icon-light-hover-bg</f>
        <v>#NAME?</v>
      </c>
      <c r="G275" t="s">
        <v>234</v>
      </c>
      <c r="H275" t="s">
        <v>234</v>
      </c>
      <c r="I275" t="s">
        <v>32</v>
      </c>
      <c r="J275" t="s">
        <v>24</v>
      </c>
      <c r="K275" t="s">
        <v>572</v>
      </c>
      <c r="L275" t="s">
        <v>226</v>
      </c>
      <c r="M275" t="s">
        <v>46</v>
      </c>
      <c r="N275" t="s">
        <v>691</v>
      </c>
      <c r="O275">
        <v>1</v>
      </c>
      <c r="P275">
        <v>1</v>
      </c>
      <c r="Q275">
        <v>0</v>
      </c>
      <c r="R275" s="1">
        <v>46178.443344907406</v>
      </c>
      <c r="S275" s="1">
        <v>46205.611666666664</v>
      </c>
    </row>
    <row r="276" spans="1:19" x14ac:dyDescent="0.25">
      <c r="A276">
        <v>2010104604</v>
      </c>
      <c r="B276" t="s">
        <v>28</v>
      </c>
      <c r="C276" t="s">
        <v>29</v>
      </c>
      <c r="D276" t="s">
        <v>698</v>
      </c>
      <c r="E276" t="s">
        <v>699</v>
      </c>
      <c r="F276" t="e">
        <f>--ds-btn-icon-light-hover-text</f>
        <v>#NAME?</v>
      </c>
      <c r="G276" t="s">
        <v>117</v>
      </c>
      <c r="H276" t="s">
        <v>117</v>
      </c>
      <c r="I276" t="s">
        <v>32</v>
      </c>
      <c r="J276" t="s">
        <v>24</v>
      </c>
      <c r="K276" t="s">
        <v>572</v>
      </c>
      <c r="L276" t="s">
        <v>226</v>
      </c>
      <c r="M276" t="s">
        <v>49</v>
      </c>
      <c r="N276" t="s">
        <v>691</v>
      </c>
      <c r="O276">
        <v>1</v>
      </c>
      <c r="P276">
        <v>1</v>
      </c>
      <c r="Q276">
        <v>0</v>
      </c>
      <c r="R276" s="1">
        <v>46178.443344907406</v>
      </c>
      <c r="S276" s="1">
        <v>46205.611666666664</v>
      </c>
    </row>
    <row r="277" spans="1:19" x14ac:dyDescent="0.25">
      <c r="A277">
        <v>2010104605</v>
      </c>
      <c r="B277" t="s">
        <v>28</v>
      </c>
      <c r="C277" t="s">
        <v>29</v>
      </c>
      <c r="D277" t="s">
        <v>700</v>
      </c>
      <c r="E277" t="s">
        <v>701</v>
      </c>
      <c r="F277" t="e">
        <f>--ds-btn-icon-light-hover-border</f>
        <v>#NAME?</v>
      </c>
      <c r="G277" t="s">
        <v>234</v>
      </c>
      <c r="H277" t="s">
        <v>234</v>
      </c>
      <c r="I277" t="s">
        <v>32</v>
      </c>
      <c r="J277" t="s">
        <v>24</v>
      </c>
      <c r="K277" t="s">
        <v>572</v>
      </c>
      <c r="L277" t="s">
        <v>226</v>
      </c>
      <c r="M277" t="s">
        <v>53</v>
      </c>
      <c r="N277" t="s">
        <v>691</v>
      </c>
      <c r="O277">
        <v>1</v>
      </c>
      <c r="P277">
        <v>1</v>
      </c>
      <c r="Q277">
        <v>0</v>
      </c>
      <c r="R277" s="1">
        <v>46178.443344907406</v>
      </c>
      <c r="S277" s="1">
        <v>46205.611666666664</v>
      </c>
    </row>
    <row r="278" spans="1:19" x14ac:dyDescent="0.25">
      <c r="A278">
        <v>2010104606</v>
      </c>
      <c r="B278" t="s">
        <v>28</v>
      </c>
      <c r="C278" t="s">
        <v>29</v>
      </c>
      <c r="D278" t="s">
        <v>702</v>
      </c>
      <c r="E278" t="s">
        <v>703</v>
      </c>
      <c r="F278" t="e">
        <f>--ds-btn-icon-light-disabled-bg</f>
        <v>#NAME?</v>
      </c>
      <c r="G278" t="s">
        <v>432</v>
      </c>
      <c r="H278" t="s">
        <v>432</v>
      </c>
      <c r="I278" t="s">
        <v>32</v>
      </c>
      <c r="J278" t="s">
        <v>24</v>
      </c>
      <c r="K278" t="s">
        <v>572</v>
      </c>
      <c r="L278" t="s">
        <v>226</v>
      </c>
      <c r="M278" t="s">
        <v>57</v>
      </c>
      <c r="N278" t="s">
        <v>691</v>
      </c>
      <c r="O278">
        <v>1</v>
      </c>
      <c r="P278">
        <v>1</v>
      </c>
      <c r="Q278">
        <v>0</v>
      </c>
      <c r="R278" s="1">
        <v>46178.443344907406</v>
      </c>
      <c r="S278" s="1">
        <v>46205.611666666664</v>
      </c>
    </row>
    <row r="279" spans="1:19" x14ac:dyDescent="0.25">
      <c r="A279">
        <v>2010104607</v>
      </c>
      <c r="B279" t="s">
        <v>28</v>
      </c>
      <c r="C279" t="s">
        <v>29</v>
      </c>
      <c r="D279" t="s">
        <v>704</v>
      </c>
      <c r="E279" t="s">
        <v>705</v>
      </c>
      <c r="F279" t="e">
        <f>--ds-btn-icon-light-disabled-text</f>
        <v>#NAME?</v>
      </c>
      <c r="G279" t="s">
        <v>60</v>
      </c>
      <c r="H279" t="s">
        <v>60</v>
      </c>
      <c r="I279" t="s">
        <v>32</v>
      </c>
      <c r="J279" t="s">
        <v>24</v>
      </c>
      <c r="K279" t="s">
        <v>572</v>
      </c>
      <c r="L279" t="s">
        <v>226</v>
      </c>
      <c r="M279" t="s">
        <v>61</v>
      </c>
      <c r="N279" t="s">
        <v>691</v>
      </c>
      <c r="O279">
        <v>1</v>
      </c>
      <c r="P279">
        <v>1</v>
      </c>
      <c r="Q279">
        <v>0</v>
      </c>
      <c r="R279" s="1">
        <v>46178.443344907406</v>
      </c>
      <c r="S279" s="1">
        <v>46205.611666666664</v>
      </c>
    </row>
    <row r="280" spans="1:19" x14ac:dyDescent="0.25">
      <c r="A280">
        <v>2010104608</v>
      </c>
      <c r="B280" t="s">
        <v>28</v>
      </c>
      <c r="C280" t="s">
        <v>29</v>
      </c>
      <c r="D280" t="s">
        <v>706</v>
      </c>
      <c r="E280" t="s">
        <v>707</v>
      </c>
      <c r="F280" t="e">
        <f>--ds-btn-icon-light-disabled-border</f>
        <v>#NAME?</v>
      </c>
      <c r="G280" t="s">
        <v>432</v>
      </c>
      <c r="H280" t="s">
        <v>432</v>
      </c>
      <c r="I280" t="s">
        <v>32</v>
      </c>
      <c r="J280" t="s">
        <v>24</v>
      </c>
      <c r="K280" t="s">
        <v>572</v>
      </c>
      <c r="L280" t="s">
        <v>226</v>
      </c>
      <c r="M280" t="s">
        <v>65</v>
      </c>
      <c r="N280" t="s">
        <v>691</v>
      </c>
      <c r="O280">
        <v>1</v>
      </c>
      <c r="P280">
        <v>1</v>
      </c>
      <c r="Q280">
        <v>0</v>
      </c>
      <c r="R280" s="1">
        <v>46178.443344907406</v>
      </c>
      <c r="S280" s="1">
        <v>46205.611666666664</v>
      </c>
    </row>
    <row r="281" spans="1:19" x14ac:dyDescent="0.25">
      <c r="A281">
        <v>2010104700</v>
      </c>
      <c r="B281" t="s">
        <v>28</v>
      </c>
      <c r="C281" t="s">
        <v>29</v>
      </c>
      <c r="D281" t="s">
        <v>708</v>
      </c>
      <c r="E281" t="s">
        <v>709</v>
      </c>
      <c r="F281" t="e">
        <f>--ds-btn-icon-dark-bg</f>
        <v>#NAME?</v>
      </c>
      <c r="G281" t="s">
        <v>117</v>
      </c>
      <c r="H281" t="s">
        <v>117</v>
      </c>
      <c r="I281" t="s">
        <v>32</v>
      </c>
      <c r="J281" t="s">
        <v>24</v>
      </c>
      <c r="K281" t="s">
        <v>572</v>
      </c>
      <c r="L281" t="s">
        <v>248</v>
      </c>
      <c r="M281" t="s">
        <v>26</v>
      </c>
      <c r="N281" t="s">
        <v>710</v>
      </c>
      <c r="O281">
        <v>1</v>
      </c>
      <c r="P281">
        <v>1</v>
      </c>
      <c r="Q281">
        <v>0</v>
      </c>
      <c r="R281" s="1">
        <v>46180.55190972222</v>
      </c>
      <c r="S281" s="1">
        <v>46205.611666666664</v>
      </c>
    </row>
    <row r="282" spans="1:19" x14ac:dyDescent="0.25">
      <c r="A282">
        <v>2010104701</v>
      </c>
      <c r="B282" t="s">
        <v>28</v>
      </c>
      <c r="C282" t="s">
        <v>29</v>
      </c>
      <c r="D282" t="s">
        <v>711</v>
      </c>
      <c r="E282" t="s">
        <v>712</v>
      </c>
      <c r="F282" t="e">
        <f>--ds-btn-icon-dark-text</f>
        <v>#NAME?</v>
      </c>
      <c r="G282" t="s">
        <v>37</v>
      </c>
      <c r="H282" t="s">
        <v>37</v>
      </c>
      <c r="I282" t="s">
        <v>32</v>
      </c>
      <c r="J282" t="s">
        <v>24</v>
      </c>
      <c r="K282" t="s">
        <v>572</v>
      </c>
      <c r="L282" t="s">
        <v>248</v>
      </c>
      <c r="M282" t="s">
        <v>38</v>
      </c>
      <c r="N282" t="s">
        <v>710</v>
      </c>
      <c r="O282">
        <v>1</v>
      </c>
      <c r="P282">
        <v>1</v>
      </c>
      <c r="Q282">
        <v>0</v>
      </c>
      <c r="R282" s="1">
        <v>46180.55190972222</v>
      </c>
      <c r="S282" s="1">
        <v>46205.611666666664</v>
      </c>
    </row>
    <row r="283" spans="1:19" x14ac:dyDescent="0.25">
      <c r="A283">
        <v>2010104702</v>
      </c>
      <c r="B283" t="s">
        <v>28</v>
      </c>
      <c r="C283" t="s">
        <v>29</v>
      </c>
      <c r="D283" t="s">
        <v>713</v>
      </c>
      <c r="E283" t="s">
        <v>714</v>
      </c>
      <c r="F283" t="e">
        <f>--ds-btn-icon-dark-border</f>
        <v>#NAME?</v>
      </c>
      <c r="G283" t="s">
        <v>117</v>
      </c>
      <c r="H283" t="s">
        <v>117</v>
      </c>
      <c r="I283" t="s">
        <v>32</v>
      </c>
      <c r="J283" t="s">
        <v>24</v>
      </c>
      <c r="K283" t="s">
        <v>572</v>
      </c>
      <c r="L283" t="s">
        <v>248</v>
      </c>
      <c r="M283" t="s">
        <v>42</v>
      </c>
      <c r="N283" t="s">
        <v>710</v>
      </c>
      <c r="O283">
        <v>1</v>
      </c>
      <c r="P283">
        <v>1</v>
      </c>
      <c r="Q283">
        <v>0</v>
      </c>
      <c r="R283" s="1">
        <v>46180.55190972222</v>
      </c>
      <c r="S283" s="1">
        <v>46205.611666666664</v>
      </c>
    </row>
    <row r="284" spans="1:19" x14ac:dyDescent="0.25">
      <c r="A284">
        <v>2010104703</v>
      </c>
      <c r="B284" t="s">
        <v>28</v>
      </c>
      <c r="C284" t="s">
        <v>29</v>
      </c>
      <c r="D284" t="s">
        <v>715</v>
      </c>
      <c r="E284" t="s">
        <v>716</v>
      </c>
      <c r="F284" t="e">
        <f>--ds-btn-icon-dark-hover-bg</f>
        <v>#NAME?</v>
      </c>
      <c r="G284" t="s">
        <v>256</v>
      </c>
      <c r="H284" t="s">
        <v>256</v>
      </c>
      <c r="I284" t="s">
        <v>32</v>
      </c>
      <c r="J284" t="s">
        <v>24</v>
      </c>
      <c r="K284" t="s">
        <v>572</v>
      </c>
      <c r="L284" t="s">
        <v>248</v>
      </c>
      <c r="M284" t="s">
        <v>46</v>
      </c>
      <c r="N284" t="s">
        <v>710</v>
      </c>
      <c r="O284">
        <v>1</v>
      </c>
      <c r="P284">
        <v>1</v>
      </c>
      <c r="Q284">
        <v>0</v>
      </c>
      <c r="R284" s="1">
        <v>46180.55190972222</v>
      </c>
      <c r="S284" s="1">
        <v>46205.611666666664</v>
      </c>
    </row>
    <row r="285" spans="1:19" x14ac:dyDescent="0.25">
      <c r="A285">
        <v>2010104704</v>
      </c>
      <c r="B285" t="s">
        <v>28</v>
      </c>
      <c r="C285" t="s">
        <v>29</v>
      </c>
      <c r="D285" t="s">
        <v>717</v>
      </c>
      <c r="E285" t="s">
        <v>718</v>
      </c>
      <c r="F285" t="e">
        <f>--ds-btn-icon-dark-hover-text</f>
        <v>#NAME?</v>
      </c>
      <c r="G285" t="s">
        <v>37</v>
      </c>
      <c r="H285" t="s">
        <v>37</v>
      </c>
      <c r="I285" t="s">
        <v>32</v>
      </c>
      <c r="J285" t="s">
        <v>24</v>
      </c>
      <c r="K285" t="s">
        <v>572</v>
      </c>
      <c r="L285" t="s">
        <v>248</v>
      </c>
      <c r="M285" t="s">
        <v>49</v>
      </c>
      <c r="N285" t="s">
        <v>710</v>
      </c>
      <c r="O285">
        <v>1</v>
      </c>
      <c r="P285">
        <v>1</v>
      </c>
      <c r="Q285">
        <v>0</v>
      </c>
      <c r="R285" s="1">
        <v>46180.55190972222</v>
      </c>
      <c r="S285" s="1">
        <v>46205.611666666664</v>
      </c>
    </row>
    <row r="286" spans="1:19" x14ac:dyDescent="0.25">
      <c r="A286">
        <v>2010104705</v>
      </c>
      <c r="B286" t="s">
        <v>28</v>
      </c>
      <c r="C286" t="s">
        <v>29</v>
      </c>
      <c r="D286" t="s">
        <v>719</v>
      </c>
      <c r="E286" t="s">
        <v>720</v>
      </c>
      <c r="F286" t="e">
        <f>--ds-btn-icon-dark-hover-border</f>
        <v>#NAME?</v>
      </c>
      <c r="G286" t="s">
        <v>721</v>
      </c>
      <c r="H286" t="s">
        <v>721</v>
      </c>
      <c r="I286" t="s">
        <v>32</v>
      </c>
      <c r="J286" t="s">
        <v>24</v>
      </c>
      <c r="K286" t="s">
        <v>572</v>
      </c>
      <c r="L286" t="s">
        <v>248</v>
      </c>
      <c r="M286" t="s">
        <v>53</v>
      </c>
      <c r="N286" t="s">
        <v>710</v>
      </c>
      <c r="O286">
        <v>1</v>
      </c>
      <c r="P286">
        <v>1</v>
      </c>
      <c r="Q286">
        <v>0</v>
      </c>
      <c r="R286" s="1">
        <v>46180.55190972222</v>
      </c>
      <c r="S286" s="1">
        <v>46205.611666666664</v>
      </c>
    </row>
    <row r="287" spans="1:19" x14ac:dyDescent="0.25">
      <c r="A287">
        <v>2010104706</v>
      </c>
      <c r="B287" t="s">
        <v>28</v>
      </c>
      <c r="C287" t="s">
        <v>29</v>
      </c>
      <c r="D287" t="s">
        <v>722</v>
      </c>
      <c r="E287" t="s">
        <v>723</v>
      </c>
      <c r="F287" t="e">
        <f>--ds-btn-icon-dark-disabled-bg</f>
        <v>#NAME?</v>
      </c>
      <c r="G287" t="s">
        <v>432</v>
      </c>
      <c r="H287" t="s">
        <v>432</v>
      </c>
      <c r="I287" t="s">
        <v>32</v>
      </c>
      <c r="J287" t="s">
        <v>24</v>
      </c>
      <c r="K287" t="s">
        <v>572</v>
      </c>
      <c r="L287" t="s">
        <v>248</v>
      </c>
      <c r="M287" t="s">
        <v>57</v>
      </c>
      <c r="N287" t="s">
        <v>710</v>
      </c>
      <c r="O287">
        <v>1</v>
      </c>
      <c r="P287">
        <v>1</v>
      </c>
      <c r="Q287">
        <v>0</v>
      </c>
      <c r="R287" s="1">
        <v>46180.55190972222</v>
      </c>
      <c r="S287" s="1">
        <v>46205.611666666664</v>
      </c>
    </row>
    <row r="288" spans="1:19" x14ac:dyDescent="0.25">
      <c r="A288">
        <v>2010104707</v>
      </c>
      <c r="B288" t="s">
        <v>28</v>
      </c>
      <c r="C288" t="s">
        <v>29</v>
      </c>
      <c r="D288" t="s">
        <v>724</v>
      </c>
      <c r="E288" t="s">
        <v>725</v>
      </c>
      <c r="F288" t="e">
        <f>--ds-btn-icon-dark-disabled-text</f>
        <v>#NAME?</v>
      </c>
      <c r="G288" t="s">
        <v>60</v>
      </c>
      <c r="H288" t="s">
        <v>60</v>
      </c>
      <c r="I288" t="s">
        <v>32</v>
      </c>
      <c r="J288" t="s">
        <v>24</v>
      </c>
      <c r="K288" t="s">
        <v>572</v>
      </c>
      <c r="L288" t="s">
        <v>248</v>
      </c>
      <c r="M288" t="s">
        <v>61</v>
      </c>
      <c r="N288" t="s">
        <v>710</v>
      </c>
      <c r="O288">
        <v>1</v>
      </c>
      <c r="P288">
        <v>1</v>
      </c>
      <c r="Q288">
        <v>0</v>
      </c>
      <c r="R288" s="1">
        <v>46180.55190972222</v>
      </c>
      <c r="S288" s="1">
        <v>46205.611666666664</v>
      </c>
    </row>
    <row r="289" spans="1:19" x14ac:dyDescent="0.25">
      <c r="A289">
        <v>2010104708</v>
      </c>
      <c r="B289" t="s">
        <v>28</v>
      </c>
      <c r="C289" t="s">
        <v>29</v>
      </c>
      <c r="D289" t="s">
        <v>726</v>
      </c>
      <c r="E289" t="s">
        <v>727</v>
      </c>
      <c r="F289" t="e">
        <f>--ds-btn-icon-dark-disabled-border</f>
        <v>#NAME?</v>
      </c>
      <c r="G289" t="s">
        <v>432</v>
      </c>
      <c r="H289" t="s">
        <v>432</v>
      </c>
      <c r="I289" t="s">
        <v>32</v>
      </c>
      <c r="J289" t="s">
        <v>24</v>
      </c>
      <c r="K289" t="s">
        <v>572</v>
      </c>
      <c r="L289" t="s">
        <v>248</v>
      </c>
      <c r="M289" t="s">
        <v>65</v>
      </c>
      <c r="N289" t="s">
        <v>710</v>
      </c>
      <c r="O289">
        <v>1</v>
      </c>
      <c r="P289">
        <v>1</v>
      </c>
      <c r="Q289">
        <v>0</v>
      </c>
      <c r="R289" s="1">
        <v>46180.55190972222</v>
      </c>
      <c r="S289" s="1">
        <v>46205.611666666664</v>
      </c>
    </row>
    <row r="290" spans="1:19" x14ac:dyDescent="0.25">
      <c r="A290">
        <v>2010105000</v>
      </c>
      <c r="B290" t="s">
        <v>28</v>
      </c>
      <c r="C290" t="s">
        <v>29</v>
      </c>
      <c r="D290" t="s">
        <v>728</v>
      </c>
      <c r="E290" t="s">
        <v>729</v>
      </c>
      <c r="F290" t="e">
        <f>--ds-btn-social-facebook-bg</f>
        <v>#NAME?</v>
      </c>
      <c r="G290" t="s">
        <v>730</v>
      </c>
      <c r="H290" t="s">
        <v>730</v>
      </c>
      <c r="I290" t="s">
        <v>32</v>
      </c>
      <c r="J290" t="s">
        <v>24</v>
      </c>
      <c r="K290" t="s">
        <v>731</v>
      </c>
      <c r="L290" t="s">
        <v>732</v>
      </c>
      <c r="M290" t="s">
        <v>26</v>
      </c>
      <c r="N290" t="s">
        <v>733</v>
      </c>
      <c r="O290">
        <v>1</v>
      </c>
      <c r="P290">
        <v>1</v>
      </c>
      <c r="Q290">
        <v>0</v>
      </c>
      <c r="R290" s="1">
        <v>46181.364976851852</v>
      </c>
      <c r="S290" s="1">
        <v>46205.611666666664</v>
      </c>
    </row>
    <row r="291" spans="1:19" x14ac:dyDescent="0.25">
      <c r="A291">
        <v>2010105001</v>
      </c>
      <c r="B291" t="s">
        <v>28</v>
      </c>
      <c r="C291" t="s">
        <v>29</v>
      </c>
      <c r="D291" t="s">
        <v>734</v>
      </c>
      <c r="E291" t="s">
        <v>735</v>
      </c>
      <c r="F291" t="e">
        <f>--ds-btn-social-facebook-icon-color</f>
        <v>#NAME?</v>
      </c>
      <c r="G291" t="s">
        <v>37</v>
      </c>
      <c r="H291" t="s">
        <v>37</v>
      </c>
      <c r="I291" t="s">
        <v>32</v>
      </c>
      <c r="J291" t="s">
        <v>24</v>
      </c>
      <c r="K291" t="s">
        <v>731</v>
      </c>
      <c r="L291" t="s">
        <v>732</v>
      </c>
      <c r="M291" t="s">
        <v>102</v>
      </c>
      <c r="N291" t="s">
        <v>733</v>
      </c>
      <c r="O291">
        <v>1</v>
      </c>
      <c r="P291">
        <v>1</v>
      </c>
      <c r="Q291">
        <v>0</v>
      </c>
      <c r="R291" s="1">
        <v>46181.364976851852</v>
      </c>
      <c r="S291" s="1">
        <v>46205.611666666664</v>
      </c>
    </row>
    <row r="292" spans="1:19" x14ac:dyDescent="0.25">
      <c r="A292">
        <v>2010105002</v>
      </c>
      <c r="B292" t="s">
        <v>28</v>
      </c>
      <c r="C292" t="s">
        <v>29</v>
      </c>
      <c r="D292" t="s">
        <v>736</v>
      </c>
      <c r="E292" t="s">
        <v>737</v>
      </c>
      <c r="F292" t="e">
        <f>--ds-btn-social-facebook-hover-bg</f>
        <v>#NAME?</v>
      </c>
      <c r="G292" t="s">
        <v>738</v>
      </c>
      <c r="H292" t="s">
        <v>738</v>
      </c>
      <c r="I292" t="s">
        <v>32</v>
      </c>
      <c r="J292" t="s">
        <v>24</v>
      </c>
      <c r="K292" t="s">
        <v>731</v>
      </c>
      <c r="L292" t="s">
        <v>732</v>
      </c>
      <c r="M292" t="s">
        <v>46</v>
      </c>
      <c r="N292" t="s">
        <v>733</v>
      </c>
      <c r="O292">
        <v>1</v>
      </c>
      <c r="P292">
        <v>1</v>
      </c>
      <c r="Q292">
        <v>0</v>
      </c>
      <c r="R292" s="1">
        <v>46181.364976851852</v>
      </c>
      <c r="S292" s="1">
        <v>46205.611666666664</v>
      </c>
    </row>
    <row r="293" spans="1:19" x14ac:dyDescent="0.25">
      <c r="A293">
        <v>2010105010</v>
      </c>
      <c r="B293" t="s">
        <v>28</v>
      </c>
      <c r="C293" t="s">
        <v>29</v>
      </c>
      <c r="D293" t="s">
        <v>739</v>
      </c>
      <c r="E293" t="s">
        <v>740</v>
      </c>
      <c r="F293" t="e">
        <f>--ds-btn-social-twitter-bg</f>
        <v>#NAME?</v>
      </c>
      <c r="G293" t="s">
        <v>741</v>
      </c>
      <c r="H293" t="s">
        <v>741</v>
      </c>
      <c r="I293" t="s">
        <v>32</v>
      </c>
      <c r="J293" t="s">
        <v>24</v>
      </c>
      <c r="K293" t="s">
        <v>731</v>
      </c>
      <c r="L293" t="s">
        <v>742</v>
      </c>
      <c r="M293" t="s">
        <v>26</v>
      </c>
      <c r="N293" t="s">
        <v>743</v>
      </c>
      <c r="O293">
        <v>1</v>
      </c>
      <c r="P293">
        <v>1</v>
      </c>
      <c r="Q293">
        <v>0</v>
      </c>
      <c r="R293" s="1">
        <v>46181.364976851852</v>
      </c>
      <c r="S293" s="1">
        <v>46205.611666666664</v>
      </c>
    </row>
    <row r="294" spans="1:19" x14ac:dyDescent="0.25">
      <c r="A294">
        <v>2010105011</v>
      </c>
      <c r="B294" t="s">
        <v>28</v>
      </c>
      <c r="C294" t="s">
        <v>29</v>
      </c>
      <c r="D294" t="s">
        <v>744</v>
      </c>
      <c r="E294" t="s">
        <v>745</v>
      </c>
      <c r="F294" t="e">
        <f>--ds-btn-social-twitter-icon-color</f>
        <v>#NAME?</v>
      </c>
      <c r="G294" t="s">
        <v>37</v>
      </c>
      <c r="H294" t="s">
        <v>37</v>
      </c>
      <c r="I294" t="s">
        <v>32</v>
      </c>
      <c r="J294" t="s">
        <v>24</v>
      </c>
      <c r="K294" t="s">
        <v>731</v>
      </c>
      <c r="L294" t="s">
        <v>742</v>
      </c>
      <c r="M294" t="s">
        <v>102</v>
      </c>
      <c r="N294" t="s">
        <v>743</v>
      </c>
      <c r="O294">
        <v>1</v>
      </c>
      <c r="P294">
        <v>1</v>
      </c>
      <c r="Q294">
        <v>0</v>
      </c>
      <c r="R294" s="1">
        <v>46181.364976851852</v>
      </c>
      <c r="S294" s="1">
        <v>46205.611666666664</v>
      </c>
    </row>
    <row r="295" spans="1:19" x14ac:dyDescent="0.25">
      <c r="A295">
        <v>2010105012</v>
      </c>
      <c r="B295" t="s">
        <v>28</v>
      </c>
      <c r="C295" t="s">
        <v>29</v>
      </c>
      <c r="D295" t="s">
        <v>746</v>
      </c>
      <c r="E295" t="s">
        <v>747</v>
      </c>
      <c r="F295" t="e">
        <f>--ds-btn-social-twitter-hover-bg</f>
        <v>#NAME?</v>
      </c>
      <c r="G295" t="s">
        <v>748</v>
      </c>
      <c r="H295" t="s">
        <v>748</v>
      </c>
      <c r="I295" t="s">
        <v>32</v>
      </c>
      <c r="J295" t="s">
        <v>24</v>
      </c>
      <c r="K295" t="s">
        <v>731</v>
      </c>
      <c r="L295" t="s">
        <v>742</v>
      </c>
      <c r="M295" t="s">
        <v>46</v>
      </c>
      <c r="N295" t="s">
        <v>743</v>
      </c>
      <c r="O295">
        <v>1</v>
      </c>
      <c r="P295">
        <v>1</v>
      </c>
      <c r="Q295">
        <v>0</v>
      </c>
      <c r="R295" s="1">
        <v>46181.364976851852</v>
      </c>
      <c r="S295" s="1">
        <v>46205.611666666664</v>
      </c>
    </row>
    <row r="296" spans="1:19" x14ac:dyDescent="0.25">
      <c r="A296">
        <v>2010105100</v>
      </c>
      <c r="B296" t="s">
        <v>28</v>
      </c>
      <c r="C296" t="s">
        <v>29</v>
      </c>
      <c r="D296" t="s">
        <v>749</v>
      </c>
      <c r="E296" t="s">
        <v>750</v>
      </c>
      <c r="F296" t="e">
        <f>--ds-btn-social-instagram-bg</f>
        <v>#NAME?</v>
      </c>
      <c r="G296" t="s">
        <v>751</v>
      </c>
      <c r="H296" t="s">
        <v>751</v>
      </c>
      <c r="I296" t="s">
        <v>32</v>
      </c>
      <c r="J296" t="s">
        <v>24</v>
      </c>
      <c r="K296" t="s">
        <v>731</v>
      </c>
      <c r="L296" t="s">
        <v>752</v>
      </c>
      <c r="M296" t="s">
        <v>26</v>
      </c>
      <c r="N296" t="s">
        <v>753</v>
      </c>
      <c r="O296">
        <v>1</v>
      </c>
      <c r="P296">
        <v>1</v>
      </c>
      <c r="Q296">
        <v>0</v>
      </c>
      <c r="R296" s="1">
        <v>46181.364976851852</v>
      </c>
      <c r="S296" s="1">
        <v>46205.611666666664</v>
      </c>
    </row>
    <row r="297" spans="1:19" x14ac:dyDescent="0.25">
      <c r="A297">
        <v>2010105101</v>
      </c>
      <c r="B297" t="s">
        <v>28</v>
      </c>
      <c r="C297" t="s">
        <v>29</v>
      </c>
      <c r="D297" t="s">
        <v>754</v>
      </c>
      <c r="E297" t="s">
        <v>755</v>
      </c>
      <c r="F297" t="e">
        <f>--ds-btn-social-instagram-icon-color</f>
        <v>#NAME?</v>
      </c>
      <c r="G297" t="s">
        <v>37</v>
      </c>
      <c r="H297" t="s">
        <v>37</v>
      </c>
      <c r="I297" t="s">
        <v>32</v>
      </c>
      <c r="J297" t="s">
        <v>24</v>
      </c>
      <c r="K297" t="s">
        <v>731</v>
      </c>
      <c r="L297" t="s">
        <v>752</v>
      </c>
      <c r="M297" t="s">
        <v>102</v>
      </c>
      <c r="N297" t="s">
        <v>753</v>
      </c>
      <c r="O297">
        <v>1</v>
      </c>
      <c r="P297">
        <v>1</v>
      </c>
      <c r="Q297">
        <v>0</v>
      </c>
      <c r="R297" s="1">
        <v>46181.364976851852</v>
      </c>
      <c r="S297" s="1">
        <v>46205.611666666664</v>
      </c>
    </row>
    <row r="298" spans="1:19" x14ac:dyDescent="0.25">
      <c r="A298">
        <v>2010105102</v>
      </c>
      <c r="B298" t="s">
        <v>28</v>
      </c>
      <c r="C298" t="s">
        <v>29</v>
      </c>
      <c r="D298" t="s">
        <v>756</v>
      </c>
      <c r="E298" t="s">
        <v>757</v>
      </c>
      <c r="F298" t="e">
        <f>--ds-btn-social-instagram-hover-bg</f>
        <v>#NAME?</v>
      </c>
      <c r="G298" t="s">
        <v>758</v>
      </c>
      <c r="H298" t="s">
        <v>758</v>
      </c>
      <c r="I298" t="s">
        <v>32</v>
      </c>
      <c r="J298" t="s">
        <v>24</v>
      </c>
      <c r="K298" t="s">
        <v>731</v>
      </c>
      <c r="L298" t="s">
        <v>752</v>
      </c>
      <c r="M298" t="s">
        <v>46</v>
      </c>
      <c r="N298" t="s">
        <v>753</v>
      </c>
      <c r="O298">
        <v>1</v>
      </c>
      <c r="P298">
        <v>1</v>
      </c>
      <c r="Q298">
        <v>0</v>
      </c>
      <c r="R298" s="1">
        <v>46181.364976851852</v>
      </c>
      <c r="S298" s="1">
        <v>46205.611666666664</v>
      </c>
    </row>
    <row r="299" spans="1:19" x14ac:dyDescent="0.25">
      <c r="A299">
        <v>2010105110</v>
      </c>
      <c r="B299" t="s">
        <v>28</v>
      </c>
      <c r="C299" t="s">
        <v>29</v>
      </c>
      <c r="D299" t="s">
        <v>759</v>
      </c>
      <c r="E299" t="s">
        <v>760</v>
      </c>
      <c r="F299" t="e">
        <f>--ds-btn-social-linkedin-bg</f>
        <v>#NAME?</v>
      </c>
      <c r="G299" t="s">
        <v>761</v>
      </c>
      <c r="H299" t="s">
        <v>761</v>
      </c>
      <c r="I299" t="s">
        <v>32</v>
      </c>
      <c r="J299" t="s">
        <v>24</v>
      </c>
      <c r="K299" t="s">
        <v>731</v>
      </c>
      <c r="L299" t="s">
        <v>762</v>
      </c>
      <c r="M299" t="s">
        <v>26</v>
      </c>
      <c r="N299" t="s">
        <v>763</v>
      </c>
      <c r="O299">
        <v>1</v>
      </c>
      <c r="P299">
        <v>1</v>
      </c>
      <c r="Q299">
        <v>0</v>
      </c>
      <c r="R299" s="1">
        <v>46181.364976851852</v>
      </c>
      <c r="S299" s="1">
        <v>46205.611666666664</v>
      </c>
    </row>
    <row r="300" spans="1:19" x14ac:dyDescent="0.25">
      <c r="A300">
        <v>2010105111</v>
      </c>
      <c r="B300" t="s">
        <v>28</v>
      </c>
      <c r="C300" t="s">
        <v>29</v>
      </c>
      <c r="D300" t="s">
        <v>764</v>
      </c>
      <c r="E300" t="s">
        <v>765</v>
      </c>
      <c r="F300" t="e">
        <f>--ds-btn-social-linkedin-icon-color</f>
        <v>#NAME?</v>
      </c>
      <c r="G300" t="s">
        <v>37</v>
      </c>
      <c r="H300" t="s">
        <v>37</v>
      </c>
      <c r="I300" t="s">
        <v>32</v>
      </c>
      <c r="J300" t="s">
        <v>24</v>
      </c>
      <c r="K300" t="s">
        <v>731</v>
      </c>
      <c r="L300" t="s">
        <v>762</v>
      </c>
      <c r="M300" t="s">
        <v>102</v>
      </c>
      <c r="N300" t="s">
        <v>763</v>
      </c>
      <c r="O300">
        <v>1</v>
      </c>
      <c r="P300">
        <v>1</v>
      </c>
      <c r="Q300">
        <v>0</v>
      </c>
      <c r="R300" s="1">
        <v>46181.364976851852</v>
      </c>
      <c r="S300" s="1">
        <v>46205.611666666664</v>
      </c>
    </row>
    <row r="301" spans="1:19" x14ac:dyDescent="0.25">
      <c r="A301">
        <v>2010105112</v>
      </c>
      <c r="B301" t="s">
        <v>28</v>
      </c>
      <c r="C301" t="s">
        <v>29</v>
      </c>
      <c r="D301" t="s">
        <v>766</v>
      </c>
      <c r="E301" t="s">
        <v>767</v>
      </c>
      <c r="F301" t="e">
        <f>--ds-btn-social-linkedin-hover-bg</f>
        <v>#NAME?</v>
      </c>
      <c r="G301" t="s">
        <v>768</v>
      </c>
      <c r="H301" t="s">
        <v>768</v>
      </c>
      <c r="I301" t="s">
        <v>32</v>
      </c>
      <c r="J301" t="s">
        <v>24</v>
      </c>
      <c r="K301" t="s">
        <v>731</v>
      </c>
      <c r="L301" t="s">
        <v>762</v>
      </c>
      <c r="M301" t="s">
        <v>46</v>
      </c>
      <c r="N301" t="s">
        <v>763</v>
      </c>
      <c r="O301">
        <v>1</v>
      </c>
      <c r="P301">
        <v>1</v>
      </c>
      <c r="Q301">
        <v>0</v>
      </c>
      <c r="R301" s="1">
        <v>46181.364976851852</v>
      </c>
      <c r="S301" s="1">
        <v>46205.611666666664</v>
      </c>
    </row>
    <row r="302" spans="1:19" x14ac:dyDescent="0.25">
      <c r="A302">
        <v>2010105200</v>
      </c>
      <c r="B302" t="s">
        <v>28</v>
      </c>
      <c r="C302" t="s">
        <v>29</v>
      </c>
      <c r="D302" t="s">
        <v>769</v>
      </c>
      <c r="E302" t="s">
        <v>770</v>
      </c>
      <c r="F302" t="e">
        <f>--ds-btn-social-whatsapp-bg</f>
        <v>#NAME?</v>
      </c>
      <c r="G302" t="s">
        <v>771</v>
      </c>
      <c r="H302" t="s">
        <v>771</v>
      </c>
      <c r="I302" t="s">
        <v>32</v>
      </c>
      <c r="J302" t="s">
        <v>24</v>
      </c>
      <c r="K302" t="s">
        <v>731</v>
      </c>
      <c r="L302" t="s">
        <v>772</v>
      </c>
      <c r="M302" t="s">
        <v>26</v>
      </c>
      <c r="N302" t="s">
        <v>773</v>
      </c>
      <c r="O302">
        <v>1</v>
      </c>
      <c r="P302">
        <v>1</v>
      </c>
      <c r="Q302">
        <v>0</v>
      </c>
      <c r="R302" s="1">
        <v>46181.364976851852</v>
      </c>
      <c r="S302" s="1">
        <v>46205.611666666664</v>
      </c>
    </row>
    <row r="303" spans="1:19" x14ac:dyDescent="0.25">
      <c r="A303">
        <v>2010105201</v>
      </c>
      <c r="B303" t="s">
        <v>28</v>
      </c>
      <c r="C303" t="s">
        <v>29</v>
      </c>
      <c r="D303" t="s">
        <v>774</v>
      </c>
      <c r="E303" t="s">
        <v>775</v>
      </c>
      <c r="F303" t="e">
        <f>--ds-btn-social-whatsapp-icon-color</f>
        <v>#NAME?</v>
      </c>
      <c r="G303" t="s">
        <v>37</v>
      </c>
      <c r="H303" t="s">
        <v>37</v>
      </c>
      <c r="I303" t="s">
        <v>32</v>
      </c>
      <c r="J303" t="s">
        <v>24</v>
      </c>
      <c r="K303" t="s">
        <v>731</v>
      </c>
      <c r="L303" t="s">
        <v>772</v>
      </c>
      <c r="M303" t="s">
        <v>102</v>
      </c>
      <c r="N303" t="s">
        <v>773</v>
      </c>
      <c r="O303">
        <v>1</v>
      </c>
      <c r="P303">
        <v>1</v>
      </c>
      <c r="Q303">
        <v>0</v>
      </c>
      <c r="R303" s="1">
        <v>46181.364976851852</v>
      </c>
      <c r="S303" s="1">
        <v>46205.611666666664</v>
      </c>
    </row>
    <row r="304" spans="1:19" x14ac:dyDescent="0.25">
      <c r="A304">
        <v>2010105202</v>
      </c>
      <c r="B304" t="s">
        <v>28</v>
      </c>
      <c r="C304" t="s">
        <v>29</v>
      </c>
      <c r="D304" t="s">
        <v>776</v>
      </c>
      <c r="E304" t="s">
        <v>777</v>
      </c>
      <c r="F304" t="e">
        <f>--ds-btn-social-whatsapp-hover-bg</f>
        <v>#NAME?</v>
      </c>
      <c r="G304" t="s">
        <v>778</v>
      </c>
      <c r="H304" t="s">
        <v>778</v>
      </c>
      <c r="I304" t="s">
        <v>32</v>
      </c>
      <c r="J304" t="s">
        <v>24</v>
      </c>
      <c r="K304" t="s">
        <v>731</v>
      </c>
      <c r="L304" t="s">
        <v>772</v>
      </c>
      <c r="M304" t="s">
        <v>46</v>
      </c>
      <c r="N304" t="s">
        <v>773</v>
      </c>
      <c r="O304">
        <v>1</v>
      </c>
      <c r="P304">
        <v>1</v>
      </c>
      <c r="Q304">
        <v>0</v>
      </c>
      <c r="R304" s="1">
        <v>46181.364976851852</v>
      </c>
      <c r="S304" s="1">
        <v>46205.611666666664</v>
      </c>
    </row>
    <row r="305" spans="1:19" x14ac:dyDescent="0.25">
      <c r="A305">
        <v>2010105210</v>
      </c>
      <c r="B305" t="s">
        <v>28</v>
      </c>
      <c r="C305" t="s">
        <v>29</v>
      </c>
      <c r="D305" t="s">
        <v>779</v>
      </c>
      <c r="E305" t="s">
        <v>780</v>
      </c>
      <c r="F305" t="e">
        <f>--ds-btn-social-reddit-bg</f>
        <v>#NAME?</v>
      </c>
      <c r="G305" t="s">
        <v>781</v>
      </c>
      <c r="H305" t="s">
        <v>781</v>
      </c>
      <c r="I305" t="s">
        <v>32</v>
      </c>
      <c r="J305" t="s">
        <v>24</v>
      </c>
      <c r="K305" t="s">
        <v>731</v>
      </c>
      <c r="L305" t="s">
        <v>782</v>
      </c>
      <c r="M305" t="s">
        <v>26</v>
      </c>
      <c r="N305" t="s">
        <v>783</v>
      </c>
      <c r="O305">
        <v>1</v>
      </c>
      <c r="P305">
        <v>1</v>
      </c>
      <c r="Q305">
        <v>0</v>
      </c>
      <c r="R305" s="1">
        <v>46181.364976851852</v>
      </c>
      <c r="S305" s="1">
        <v>46205.611666666664</v>
      </c>
    </row>
    <row r="306" spans="1:19" x14ac:dyDescent="0.25">
      <c r="A306">
        <v>2010105211</v>
      </c>
      <c r="B306" t="s">
        <v>28</v>
      </c>
      <c r="C306" t="s">
        <v>29</v>
      </c>
      <c r="D306" t="s">
        <v>784</v>
      </c>
      <c r="E306" t="s">
        <v>785</v>
      </c>
      <c r="F306" t="e">
        <f>--ds-btn-social-reddit-icon-color</f>
        <v>#NAME?</v>
      </c>
      <c r="G306" t="s">
        <v>37</v>
      </c>
      <c r="H306" t="s">
        <v>37</v>
      </c>
      <c r="I306" t="s">
        <v>32</v>
      </c>
      <c r="J306" t="s">
        <v>24</v>
      </c>
      <c r="K306" t="s">
        <v>731</v>
      </c>
      <c r="L306" t="s">
        <v>782</v>
      </c>
      <c r="M306" t="s">
        <v>102</v>
      </c>
      <c r="N306" t="s">
        <v>783</v>
      </c>
      <c r="O306">
        <v>1</v>
      </c>
      <c r="P306">
        <v>1</v>
      </c>
      <c r="Q306">
        <v>0</v>
      </c>
      <c r="R306" s="1">
        <v>46181.364976851852</v>
      </c>
      <c r="S306" s="1">
        <v>46205.611666666664</v>
      </c>
    </row>
    <row r="307" spans="1:19" x14ac:dyDescent="0.25">
      <c r="A307">
        <v>2010105212</v>
      </c>
      <c r="B307" t="s">
        <v>28</v>
      </c>
      <c r="C307" t="s">
        <v>29</v>
      </c>
      <c r="D307" t="s">
        <v>786</v>
      </c>
      <c r="E307" t="s">
        <v>787</v>
      </c>
      <c r="F307" t="e">
        <f>--ds-btn-social-reddit-hover-bg</f>
        <v>#NAME?</v>
      </c>
      <c r="G307" t="s">
        <v>788</v>
      </c>
      <c r="H307" t="s">
        <v>788</v>
      </c>
      <c r="I307" t="s">
        <v>32</v>
      </c>
      <c r="J307" t="s">
        <v>24</v>
      </c>
      <c r="K307" t="s">
        <v>731</v>
      </c>
      <c r="L307" t="s">
        <v>782</v>
      </c>
      <c r="M307" t="s">
        <v>46</v>
      </c>
      <c r="N307" t="s">
        <v>783</v>
      </c>
      <c r="O307">
        <v>1</v>
      </c>
      <c r="P307">
        <v>1</v>
      </c>
      <c r="Q307">
        <v>0</v>
      </c>
      <c r="R307" s="1">
        <v>46181.364976851852</v>
      </c>
      <c r="S307" s="1">
        <v>46205.611666666664</v>
      </c>
    </row>
    <row r="308" spans="1:19" x14ac:dyDescent="0.25">
      <c r="A308">
        <v>2010105300</v>
      </c>
      <c r="B308" t="s">
        <v>28</v>
      </c>
      <c r="C308" t="s">
        <v>29</v>
      </c>
      <c r="D308" t="s">
        <v>789</v>
      </c>
      <c r="E308" t="s">
        <v>790</v>
      </c>
      <c r="F308" t="e">
        <f>--ds-btn-social-youtube-bg</f>
        <v>#NAME?</v>
      </c>
      <c r="G308" t="s">
        <v>791</v>
      </c>
      <c r="H308" t="s">
        <v>791</v>
      </c>
      <c r="I308" t="s">
        <v>32</v>
      </c>
      <c r="J308" t="s">
        <v>24</v>
      </c>
      <c r="K308" t="s">
        <v>731</v>
      </c>
      <c r="L308" t="s">
        <v>792</v>
      </c>
      <c r="M308" t="s">
        <v>26</v>
      </c>
      <c r="N308" t="s">
        <v>793</v>
      </c>
      <c r="O308">
        <v>1</v>
      </c>
      <c r="P308">
        <v>1</v>
      </c>
      <c r="Q308">
        <v>0</v>
      </c>
      <c r="R308" s="1">
        <v>46181.364976851852</v>
      </c>
      <c r="S308" s="1">
        <v>46205.611666666664</v>
      </c>
    </row>
    <row r="309" spans="1:19" x14ac:dyDescent="0.25">
      <c r="A309">
        <v>2010105301</v>
      </c>
      <c r="B309" t="s">
        <v>28</v>
      </c>
      <c r="C309" t="s">
        <v>29</v>
      </c>
      <c r="D309" t="s">
        <v>794</v>
      </c>
      <c r="E309" t="s">
        <v>795</v>
      </c>
      <c r="F309" t="e">
        <f>--ds-btn-social-youtube-icon-color</f>
        <v>#NAME?</v>
      </c>
      <c r="G309" t="s">
        <v>37</v>
      </c>
      <c r="H309" t="s">
        <v>37</v>
      </c>
      <c r="I309" t="s">
        <v>32</v>
      </c>
      <c r="J309" t="s">
        <v>24</v>
      </c>
      <c r="K309" t="s">
        <v>731</v>
      </c>
      <c r="L309" t="s">
        <v>792</v>
      </c>
      <c r="M309" t="s">
        <v>102</v>
      </c>
      <c r="N309" t="s">
        <v>793</v>
      </c>
      <c r="O309">
        <v>1</v>
      </c>
      <c r="P309">
        <v>1</v>
      </c>
      <c r="Q309">
        <v>0</v>
      </c>
      <c r="R309" s="1">
        <v>46181.364976851852</v>
      </c>
      <c r="S309" s="1">
        <v>46205.611666666664</v>
      </c>
    </row>
    <row r="310" spans="1:19" x14ac:dyDescent="0.25">
      <c r="A310">
        <v>2010105302</v>
      </c>
      <c r="B310" t="s">
        <v>28</v>
      </c>
      <c r="C310" t="s">
        <v>29</v>
      </c>
      <c r="D310" t="s">
        <v>796</v>
      </c>
      <c r="E310" t="s">
        <v>797</v>
      </c>
      <c r="F310" t="e">
        <f>--ds-btn-social-youtube-hover-bg</f>
        <v>#NAME?</v>
      </c>
      <c r="G310" t="s">
        <v>798</v>
      </c>
      <c r="H310" t="s">
        <v>798</v>
      </c>
      <c r="I310" t="s">
        <v>32</v>
      </c>
      <c r="J310" t="s">
        <v>24</v>
      </c>
      <c r="K310" t="s">
        <v>731</v>
      </c>
      <c r="L310" t="s">
        <v>792</v>
      </c>
      <c r="M310" t="s">
        <v>46</v>
      </c>
      <c r="N310" t="s">
        <v>793</v>
      </c>
      <c r="O310">
        <v>1</v>
      </c>
      <c r="P310">
        <v>1</v>
      </c>
      <c r="Q310">
        <v>0</v>
      </c>
      <c r="R310" s="1">
        <v>46181.364976851852</v>
      </c>
      <c r="S310" s="1">
        <v>46205.611666666664</v>
      </c>
    </row>
    <row r="311" spans="1:19" x14ac:dyDescent="0.25">
      <c r="A311">
        <v>2010105310</v>
      </c>
      <c r="B311" t="s">
        <v>28</v>
      </c>
      <c r="C311" t="s">
        <v>29</v>
      </c>
      <c r="D311" t="s">
        <v>799</v>
      </c>
      <c r="E311" t="s">
        <v>800</v>
      </c>
      <c r="F311" t="e">
        <f>--ds-btn-social-dribbble-bg</f>
        <v>#NAME?</v>
      </c>
      <c r="G311" t="s">
        <v>801</v>
      </c>
      <c r="H311" t="s">
        <v>801</v>
      </c>
      <c r="I311" t="s">
        <v>32</v>
      </c>
      <c r="J311" t="s">
        <v>24</v>
      </c>
      <c r="K311" t="s">
        <v>731</v>
      </c>
      <c r="L311" t="s">
        <v>802</v>
      </c>
      <c r="M311" t="s">
        <v>26</v>
      </c>
      <c r="N311" t="s">
        <v>803</v>
      </c>
      <c r="O311">
        <v>1</v>
      </c>
      <c r="P311">
        <v>1</v>
      </c>
      <c r="Q311">
        <v>0</v>
      </c>
      <c r="R311" s="1">
        <v>46181.364976851852</v>
      </c>
      <c r="S311" s="1">
        <v>46205.611666666664</v>
      </c>
    </row>
    <row r="312" spans="1:19" x14ac:dyDescent="0.25">
      <c r="A312">
        <v>2010105311</v>
      </c>
      <c r="B312" t="s">
        <v>28</v>
      </c>
      <c r="C312" t="s">
        <v>29</v>
      </c>
      <c r="D312" t="s">
        <v>804</v>
      </c>
      <c r="E312" t="s">
        <v>805</v>
      </c>
      <c r="F312" t="e">
        <f>--ds-btn-social-dribbble-icon-color</f>
        <v>#NAME?</v>
      </c>
      <c r="G312" t="s">
        <v>37</v>
      </c>
      <c r="H312" t="s">
        <v>37</v>
      </c>
      <c r="I312" t="s">
        <v>32</v>
      </c>
      <c r="J312" t="s">
        <v>24</v>
      </c>
      <c r="K312" t="s">
        <v>731</v>
      </c>
      <c r="L312" t="s">
        <v>802</v>
      </c>
      <c r="M312" t="s">
        <v>102</v>
      </c>
      <c r="N312" t="s">
        <v>803</v>
      </c>
      <c r="O312">
        <v>1</v>
      </c>
      <c r="P312">
        <v>1</v>
      </c>
      <c r="Q312">
        <v>0</v>
      </c>
      <c r="R312" s="1">
        <v>46181.364976851852</v>
      </c>
      <c r="S312" s="1">
        <v>46205.611666666664</v>
      </c>
    </row>
    <row r="313" spans="1:19" x14ac:dyDescent="0.25">
      <c r="A313">
        <v>2010105312</v>
      </c>
      <c r="B313" t="s">
        <v>28</v>
      </c>
      <c r="C313" t="s">
        <v>29</v>
      </c>
      <c r="D313" t="s">
        <v>806</v>
      </c>
      <c r="E313" t="s">
        <v>807</v>
      </c>
      <c r="F313" t="e">
        <f>--ds-btn-social-dribbble-hover-bg</f>
        <v>#NAME?</v>
      </c>
      <c r="G313" t="s">
        <v>808</v>
      </c>
      <c r="H313" t="s">
        <v>808</v>
      </c>
      <c r="I313" t="s">
        <v>32</v>
      </c>
      <c r="J313" t="s">
        <v>24</v>
      </c>
      <c r="K313" t="s">
        <v>731</v>
      </c>
      <c r="L313" t="s">
        <v>802</v>
      </c>
      <c r="M313" t="s">
        <v>46</v>
      </c>
      <c r="N313" t="s">
        <v>803</v>
      </c>
      <c r="O313">
        <v>1</v>
      </c>
      <c r="P313">
        <v>1</v>
      </c>
      <c r="Q313">
        <v>0</v>
      </c>
      <c r="R313" s="1">
        <v>46181.364976851852</v>
      </c>
      <c r="S313" s="1">
        <v>46205.611666666664</v>
      </c>
    </row>
    <row r="314" spans="1:19" x14ac:dyDescent="0.25">
      <c r="A314">
        <v>2010105400</v>
      </c>
      <c r="B314" t="s">
        <v>28</v>
      </c>
      <c r="C314" t="s">
        <v>29</v>
      </c>
      <c r="D314" t="s">
        <v>809</v>
      </c>
      <c r="E314" t="s">
        <v>810</v>
      </c>
      <c r="F314" t="e">
        <f>--ds-btn-social-snapchat-bg</f>
        <v>#NAME?</v>
      </c>
      <c r="G314" t="s">
        <v>811</v>
      </c>
      <c r="H314" t="s">
        <v>811</v>
      </c>
      <c r="I314" t="s">
        <v>32</v>
      </c>
      <c r="J314" t="s">
        <v>24</v>
      </c>
      <c r="K314" t="s">
        <v>731</v>
      </c>
      <c r="L314" t="s">
        <v>812</v>
      </c>
      <c r="M314" t="s">
        <v>26</v>
      </c>
      <c r="N314" t="s">
        <v>813</v>
      </c>
      <c r="O314">
        <v>1</v>
      </c>
      <c r="P314">
        <v>1</v>
      </c>
      <c r="Q314">
        <v>0</v>
      </c>
      <c r="R314" s="1">
        <v>46181.364976851852</v>
      </c>
      <c r="S314" s="1">
        <v>46205.611666666664</v>
      </c>
    </row>
    <row r="315" spans="1:19" x14ac:dyDescent="0.25">
      <c r="A315">
        <v>2010105401</v>
      </c>
      <c r="B315" t="s">
        <v>28</v>
      </c>
      <c r="C315" t="s">
        <v>29</v>
      </c>
      <c r="D315" t="s">
        <v>814</v>
      </c>
      <c r="E315" t="s">
        <v>815</v>
      </c>
      <c r="F315" t="e">
        <f>--ds-btn-social-snapchat-icon-color</f>
        <v>#NAME?</v>
      </c>
      <c r="G315" t="s">
        <v>816</v>
      </c>
      <c r="H315" t="s">
        <v>816</v>
      </c>
      <c r="I315" t="s">
        <v>32</v>
      </c>
      <c r="J315" t="s">
        <v>24</v>
      </c>
      <c r="K315" t="s">
        <v>731</v>
      </c>
      <c r="L315" t="s">
        <v>812</v>
      </c>
      <c r="M315" t="s">
        <v>102</v>
      </c>
      <c r="N315" t="s">
        <v>813</v>
      </c>
      <c r="O315">
        <v>1</v>
      </c>
      <c r="P315">
        <v>1</v>
      </c>
      <c r="Q315">
        <v>0</v>
      </c>
      <c r="R315" s="1">
        <v>46181.364976851852</v>
      </c>
      <c r="S315" s="1">
        <v>46205.611666666664</v>
      </c>
    </row>
    <row r="316" spans="1:19" x14ac:dyDescent="0.25">
      <c r="A316">
        <v>2010105402</v>
      </c>
      <c r="B316" t="s">
        <v>28</v>
      </c>
      <c r="C316" t="s">
        <v>29</v>
      </c>
      <c r="D316" t="s">
        <v>817</v>
      </c>
      <c r="E316" t="s">
        <v>818</v>
      </c>
      <c r="F316" t="e">
        <f>--ds-btn-social-snapchat-hover-bg</f>
        <v>#NAME?</v>
      </c>
      <c r="G316" t="s">
        <v>819</v>
      </c>
      <c r="H316" t="s">
        <v>819</v>
      </c>
      <c r="I316" t="s">
        <v>32</v>
      </c>
      <c r="J316" t="s">
        <v>24</v>
      </c>
      <c r="K316" t="s">
        <v>731</v>
      </c>
      <c r="L316" t="s">
        <v>812</v>
      </c>
      <c r="M316" t="s">
        <v>46</v>
      </c>
      <c r="N316" t="s">
        <v>813</v>
      </c>
      <c r="O316">
        <v>1</v>
      </c>
      <c r="P316">
        <v>1</v>
      </c>
      <c r="Q316">
        <v>0</v>
      </c>
      <c r="R316" s="1">
        <v>46181.364976851852</v>
      </c>
      <c r="S316" s="1">
        <v>46205.611666666664</v>
      </c>
    </row>
    <row r="317" spans="1:19" x14ac:dyDescent="0.25">
      <c r="A317">
        <v>2010107000</v>
      </c>
      <c r="B317" t="s">
        <v>28</v>
      </c>
      <c r="C317" t="s">
        <v>29</v>
      </c>
      <c r="D317" t="s">
        <v>820</v>
      </c>
      <c r="E317" t="s">
        <v>821</v>
      </c>
      <c r="F317" t="e">
        <f>--ds-btn-radius-primary-bg</f>
        <v>#NAME?</v>
      </c>
      <c r="G317" t="s">
        <v>23</v>
      </c>
      <c r="H317" t="s">
        <v>23</v>
      </c>
      <c r="I317" t="s">
        <v>32</v>
      </c>
      <c r="J317" t="s">
        <v>24</v>
      </c>
      <c r="K317" t="s">
        <v>74</v>
      </c>
      <c r="L317" t="s">
        <v>25</v>
      </c>
      <c r="M317" t="s">
        <v>26</v>
      </c>
      <c r="N317" t="s">
        <v>822</v>
      </c>
      <c r="O317">
        <v>1</v>
      </c>
      <c r="P317">
        <v>1</v>
      </c>
      <c r="Q317">
        <v>1</v>
      </c>
      <c r="R317" s="1">
        <v>46182.064143518517</v>
      </c>
      <c r="S317" s="1">
        <v>46205.863240740742</v>
      </c>
    </row>
    <row r="318" spans="1:19" x14ac:dyDescent="0.25">
      <c r="A318">
        <v>2010107001</v>
      </c>
      <c r="B318" t="s">
        <v>28</v>
      </c>
      <c r="C318" t="s">
        <v>29</v>
      </c>
      <c r="D318" t="s">
        <v>823</v>
      </c>
      <c r="E318" t="s">
        <v>824</v>
      </c>
      <c r="F318" t="e">
        <f>--ds-btn-radius-primary-text</f>
        <v>#NAME?</v>
      </c>
      <c r="G318" t="s">
        <v>37</v>
      </c>
      <c r="H318" t="s">
        <v>37</v>
      </c>
      <c r="I318" t="s">
        <v>32</v>
      </c>
      <c r="J318" t="s">
        <v>24</v>
      </c>
      <c r="K318" t="s">
        <v>74</v>
      </c>
      <c r="L318" t="s">
        <v>25</v>
      </c>
      <c r="M318" t="s">
        <v>38</v>
      </c>
      <c r="N318" t="s">
        <v>822</v>
      </c>
      <c r="O318">
        <v>1</v>
      </c>
      <c r="P318">
        <v>1</v>
      </c>
      <c r="Q318">
        <v>2</v>
      </c>
      <c r="R318" s="1">
        <v>46182.064143518517</v>
      </c>
      <c r="S318" s="1">
        <v>46205.863240740742</v>
      </c>
    </row>
    <row r="319" spans="1:19" x14ac:dyDescent="0.25">
      <c r="A319">
        <v>2010107002</v>
      </c>
      <c r="B319" t="s">
        <v>28</v>
      </c>
      <c r="C319" t="s">
        <v>29</v>
      </c>
      <c r="D319" t="s">
        <v>825</v>
      </c>
      <c r="E319" t="s">
        <v>826</v>
      </c>
      <c r="F319" t="e">
        <f>--ds-btn-radius-primary-border</f>
        <v>#NAME?</v>
      </c>
      <c r="G319" t="s">
        <v>41</v>
      </c>
      <c r="H319" t="s">
        <v>41</v>
      </c>
      <c r="I319" t="s">
        <v>32</v>
      </c>
      <c r="J319" t="s">
        <v>24</v>
      </c>
      <c r="K319" t="s">
        <v>74</v>
      </c>
      <c r="L319" t="s">
        <v>25</v>
      </c>
      <c r="M319" t="s">
        <v>42</v>
      </c>
      <c r="N319" t="s">
        <v>822</v>
      </c>
      <c r="O319">
        <v>1</v>
      </c>
      <c r="P319">
        <v>1</v>
      </c>
      <c r="Q319">
        <v>3</v>
      </c>
      <c r="R319" s="1">
        <v>46182.064143518517</v>
      </c>
      <c r="S319" s="1">
        <v>46205.863240740742</v>
      </c>
    </row>
    <row r="320" spans="1:19" x14ac:dyDescent="0.25">
      <c r="A320">
        <v>2010107003</v>
      </c>
      <c r="B320" t="s">
        <v>28</v>
      </c>
      <c r="C320" t="s">
        <v>29</v>
      </c>
      <c r="D320" t="s">
        <v>827</v>
      </c>
      <c r="E320" t="s">
        <v>828</v>
      </c>
      <c r="F320" t="e">
        <f>--ds-btn-radius-primary-hover-bg</f>
        <v>#NAME?</v>
      </c>
      <c r="G320" t="s">
        <v>45</v>
      </c>
      <c r="H320" t="s">
        <v>45</v>
      </c>
      <c r="I320" t="s">
        <v>32</v>
      </c>
      <c r="J320" t="s">
        <v>24</v>
      </c>
      <c r="K320" t="s">
        <v>74</v>
      </c>
      <c r="L320" t="s">
        <v>25</v>
      </c>
      <c r="M320" t="s">
        <v>46</v>
      </c>
      <c r="N320" t="s">
        <v>822</v>
      </c>
      <c r="O320">
        <v>1</v>
      </c>
      <c r="P320">
        <v>1</v>
      </c>
      <c r="Q320">
        <v>4</v>
      </c>
      <c r="R320" s="1">
        <v>46182.064143518517</v>
      </c>
      <c r="S320" s="1">
        <v>46205.863240740742</v>
      </c>
    </row>
    <row r="321" spans="1:19" x14ac:dyDescent="0.25">
      <c r="A321">
        <v>2010107004</v>
      </c>
      <c r="B321" t="s">
        <v>28</v>
      </c>
      <c r="C321" t="s">
        <v>29</v>
      </c>
      <c r="D321" t="s">
        <v>829</v>
      </c>
      <c r="E321" t="s">
        <v>830</v>
      </c>
      <c r="F321" t="e">
        <f>--ds-btn-radius-primary-hover-text</f>
        <v>#NAME?</v>
      </c>
      <c r="G321" t="s">
        <v>37</v>
      </c>
      <c r="H321" t="s">
        <v>37</v>
      </c>
      <c r="I321" t="s">
        <v>32</v>
      </c>
      <c r="J321" t="s">
        <v>24</v>
      </c>
      <c r="K321" t="s">
        <v>74</v>
      </c>
      <c r="L321" t="s">
        <v>25</v>
      </c>
      <c r="M321" t="s">
        <v>49</v>
      </c>
      <c r="N321" t="s">
        <v>822</v>
      </c>
      <c r="O321">
        <v>1</v>
      </c>
      <c r="P321">
        <v>1</v>
      </c>
      <c r="Q321">
        <v>5</v>
      </c>
      <c r="R321" s="1">
        <v>46182.064143518517</v>
      </c>
      <c r="S321" s="1">
        <v>46205.863240740742</v>
      </c>
    </row>
    <row r="322" spans="1:19" x14ac:dyDescent="0.25">
      <c r="A322">
        <v>2010107005</v>
      </c>
      <c r="B322" t="s">
        <v>28</v>
      </c>
      <c r="C322" t="s">
        <v>29</v>
      </c>
      <c r="D322" t="s">
        <v>831</v>
      </c>
      <c r="E322" t="s">
        <v>832</v>
      </c>
      <c r="F322" t="e">
        <f>--ds-btn-radius-primary-hover-border</f>
        <v>#NAME?</v>
      </c>
      <c r="G322" t="s">
        <v>52</v>
      </c>
      <c r="H322" t="s">
        <v>52</v>
      </c>
      <c r="I322" t="s">
        <v>32</v>
      </c>
      <c r="J322" t="s">
        <v>24</v>
      </c>
      <c r="K322" t="s">
        <v>74</v>
      </c>
      <c r="L322" t="s">
        <v>25</v>
      </c>
      <c r="M322" t="s">
        <v>53</v>
      </c>
      <c r="N322" t="s">
        <v>822</v>
      </c>
      <c r="O322">
        <v>1</v>
      </c>
      <c r="P322">
        <v>1</v>
      </c>
      <c r="Q322">
        <v>6</v>
      </c>
      <c r="R322" s="1">
        <v>46182.064143518517</v>
      </c>
      <c r="S322" s="1">
        <v>46205.863240740742</v>
      </c>
    </row>
    <row r="323" spans="1:19" x14ac:dyDescent="0.25">
      <c r="A323">
        <v>2010107006</v>
      </c>
      <c r="B323" t="s">
        <v>28</v>
      </c>
      <c r="C323" t="s">
        <v>29</v>
      </c>
      <c r="D323" t="s">
        <v>833</v>
      </c>
      <c r="E323" t="s">
        <v>834</v>
      </c>
      <c r="F323" t="e">
        <f>--ds-btn-radius-primary-disabled-bg</f>
        <v>#NAME?</v>
      </c>
      <c r="G323" t="s">
        <v>56</v>
      </c>
      <c r="H323" t="s">
        <v>56</v>
      </c>
      <c r="I323" t="s">
        <v>32</v>
      </c>
      <c r="J323" t="s">
        <v>24</v>
      </c>
      <c r="K323" t="s">
        <v>74</v>
      </c>
      <c r="L323" t="s">
        <v>25</v>
      </c>
      <c r="M323" t="s">
        <v>57</v>
      </c>
      <c r="N323" t="s">
        <v>822</v>
      </c>
      <c r="O323">
        <v>1</v>
      </c>
      <c r="P323">
        <v>1</v>
      </c>
      <c r="Q323">
        <v>7</v>
      </c>
      <c r="R323" s="1">
        <v>46182.064143518517</v>
      </c>
      <c r="S323" s="1">
        <v>46205.863240740742</v>
      </c>
    </row>
    <row r="324" spans="1:19" x14ac:dyDescent="0.25">
      <c r="A324">
        <v>2010107007</v>
      </c>
      <c r="B324" t="s">
        <v>28</v>
      </c>
      <c r="C324" t="s">
        <v>29</v>
      </c>
      <c r="D324" t="s">
        <v>835</v>
      </c>
      <c r="E324" t="s">
        <v>836</v>
      </c>
      <c r="F324" t="e">
        <f>--ds-btn-radius-primary-disabled-text</f>
        <v>#NAME?</v>
      </c>
      <c r="G324" t="s">
        <v>60</v>
      </c>
      <c r="H324" t="s">
        <v>60</v>
      </c>
      <c r="I324" t="s">
        <v>32</v>
      </c>
      <c r="J324" t="s">
        <v>24</v>
      </c>
      <c r="K324" t="s">
        <v>74</v>
      </c>
      <c r="L324" t="s">
        <v>25</v>
      </c>
      <c r="M324" t="s">
        <v>61</v>
      </c>
      <c r="N324" t="s">
        <v>822</v>
      </c>
      <c r="O324">
        <v>1</v>
      </c>
      <c r="P324">
        <v>1</v>
      </c>
      <c r="Q324">
        <v>8</v>
      </c>
      <c r="R324" s="1">
        <v>46182.064143518517</v>
      </c>
      <c r="S324" s="1">
        <v>46205.863240740742</v>
      </c>
    </row>
    <row r="325" spans="1:19" x14ac:dyDescent="0.25">
      <c r="A325">
        <v>2010107008</v>
      </c>
      <c r="B325" t="s">
        <v>28</v>
      </c>
      <c r="C325" t="s">
        <v>29</v>
      </c>
      <c r="D325" t="s">
        <v>837</v>
      </c>
      <c r="E325" t="s">
        <v>838</v>
      </c>
      <c r="F325" t="e">
        <f>--ds-btn-radius-primary-disabled-border</f>
        <v>#NAME?</v>
      </c>
      <c r="G325" t="s">
        <v>64</v>
      </c>
      <c r="H325" t="s">
        <v>64</v>
      </c>
      <c r="I325" t="s">
        <v>32</v>
      </c>
      <c r="J325" t="s">
        <v>24</v>
      </c>
      <c r="K325" t="s">
        <v>74</v>
      </c>
      <c r="L325" t="s">
        <v>25</v>
      </c>
      <c r="M325" t="s">
        <v>65</v>
      </c>
      <c r="N325" t="s">
        <v>822</v>
      </c>
      <c r="O325">
        <v>1</v>
      </c>
      <c r="P325">
        <v>1</v>
      </c>
      <c r="Q325">
        <v>9</v>
      </c>
      <c r="R325" s="1">
        <v>46182.064143518517</v>
      </c>
      <c r="S325" s="1">
        <v>46205.863240740742</v>
      </c>
    </row>
    <row r="326" spans="1:19" x14ac:dyDescent="0.25">
      <c r="A326">
        <v>2010107009</v>
      </c>
      <c r="B326" t="s">
        <v>28</v>
      </c>
      <c r="C326" t="s">
        <v>29</v>
      </c>
      <c r="D326" t="s">
        <v>839</v>
      </c>
      <c r="E326" t="s">
        <v>840</v>
      </c>
      <c r="F326" t="e">
        <f>--ds-btn-radius-primary-icon-color</f>
        <v>#NAME?</v>
      </c>
      <c r="G326" t="s">
        <v>37</v>
      </c>
      <c r="H326" t="s">
        <v>37</v>
      </c>
      <c r="I326" t="s">
        <v>32</v>
      </c>
      <c r="J326" t="s">
        <v>24</v>
      </c>
      <c r="K326" t="s">
        <v>74</v>
      </c>
      <c r="L326" t="s">
        <v>25</v>
      </c>
      <c r="M326" t="s">
        <v>102</v>
      </c>
      <c r="N326" t="s">
        <v>822</v>
      </c>
      <c r="O326">
        <v>1</v>
      </c>
      <c r="P326">
        <v>1</v>
      </c>
      <c r="Q326">
        <v>10</v>
      </c>
      <c r="R326" s="1">
        <v>46182.064143518517</v>
      </c>
      <c r="S326" s="1">
        <v>46205.863240740742</v>
      </c>
    </row>
    <row r="327" spans="1:19" x14ac:dyDescent="0.25">
      <c r="A327">
        <v>2010107010</v>
      </c>
      <c r="B327" t="s">
        <v>28</v>
      </c>
      <c r="C327" t="s">
        <v>29</v>
      </c>
      <c r="D327" t="s">
        <v>841</v>
      </c>
      <c r="E327" t="s">
        <v>842</v>
      </c>
      <c r="F327" t="e">
        <f>--ds-btn-radius-primary-padding-x</f>
        <v>#NAME?</v>
      </c>
      <c r="G327" t="s">
        <v>843</v>
      </c>
      <c r="H327" t="s">
        <v>843</v>
      </c>
      <c r="I327" t="s">
        <v>32</v>
      </c>
      <c r="J327" t="s">
        <v>844</v>
      </c>
      <c r="K327" t="s">
        <v>74</v>
      </c>
      <c r="L327" t="s">
        <v>25</v>
      </c>
      <c r="M327" t="s">
        <v>79</v>
      </c>
      <c r="N327" t="s">
        <v>822</v>
      </c>
      <c r="O327">
        <v>1</v>
      </c>
      <c r="P327">
        <v>0</v>
      </c>
      <c r="Q327">
        <v>11</v>
      </c>
      <c r="R327" s="1">
        <v>46182.064143518517</v>
      </c>
      <c r="S327" s="1">
        <v>46205.863240740742</v>
      </c>
    </row>
    <row r="328" spans="1:19" x14ac:dyDescent="0.25">
      <c r="A328">
        <v>2010107011</v>
      </c>
      <c r="B328" t="s">
        <v>28</v>
      </c>
      <c r="C328" t="s">
        <v>29</v>
      </c>
      <c r="D328" t="s">
        <v>845</v>
      </c>
      <c r="E328" t="s">
        <v>846</v>
      </c>
      <c r="F328" t="e">
        <f>--ds-btn-radius-primary-padding-y</f>
        <v>#NAME?</v>
      </c>
      <c r="G328" t="s">
        <v>847</v>
      </c>
      <c r="H328" t="s">
        <v>847</v>
      </c>
      <c r="I328" t="s">
        <v>32</v>
      </c>
      <c r="J328" t="s">
        <v>844</v>
      </c>
      <c r="K328" t="s">
        <v>74</v>
      </c>
      <c r="L328" t="s">
        <v>25</v>
      </c>
      <c r="M328" t="s">
        <v>83</v>
      </c>
      <c r="N328" t="s">
        <v>822</v>
      </c>
      <c r="O328">
        <v>1</v>
      </c>
      <c r="P328">
        <v>0</v>
      </c>
      <c r="Q328">
        <v>12</v>
      </c>
      <c r="R328" s="1">
        <v>46182.064143518517</v>
      </c>
      <c r="S328" s="1">
        <v>46205.863240740742</v>
      </c>
    </row>
    <row r="329" spans="1:19" x14ac:dyDescent="0.25">
      <c r="A329">
        <v>2010107012</v>
      </c>
      <c r="B329" t="s">
        <v>28</v>
      </c>
      <c r="C329" t="s">
        <v>29</v>
      </c>
      <c r="D329" t="s">
        <v>848</v>
      </c>
      <c r="E329" t="s">
        <v>849</v>
      </c>
      <c r="F329" t="e">
        <f>--ds-btn-radius-primary-gap</f>
        <v>#NAME?</v>
      </c>
      <c r="G329" t="s">
        <v>847</v>
      </c>
      <c r="H329" t="s">
        <v>847</v>
      </c>
      <c r="I329" t="s">
        <v>32</v>
      </c>
      <c r="J329" t="s">
        <v>844</v>
      </c>
      <c r="K329" t="s">
        <v>74</v>
      </c>
      <c r="L329" t="s">
        <v>25</v>
      </c>
      <c r="M329" t="s">
        <v>87</v>
      </c>
      <c r="N329" t="s">
        <v>822</v>
      </c>
      <c r="O329">
        <v>1</v>
      </c>
      <c r="P329">
        <v>0</v>
      </c>
      <c r="Q329">
        <v>13</v>
      </c>
      <c r="R329" s="1">
        <v>46182.064143518517</v>
      </c>
      <c r="S329" s="1">
        <v>46205.863240740742</v>
      </c>
    </row>
    <row r="330" spans="1:19" x14ac:dyDescent="0.25">
      <c r="A330">
        <v>2010107013</v>
      </c>
      <c r="B330" t="s">
        <v>28</v>
      </c>
      <c r="C330" t="s">
        <v>29</v>
      </c>
      <c r="D330" t="s">
        <v>850</v>
      </c>
      <c r="E330" t="s">
        <v>851</v>
      </c>
      <c r="F330" t="e">
        <f>--ds-btn-radius-primary-icon-size</f>
        <v>#NAME?</v>
      </c>
      <c r="G330" t="s">
        <v>843</v>
      </c>
      <c r="H330" t="s">
        <v>843</v>
      </c>
      <c r="I330" t="s">
        <v>32</v>
      </c>
      <c r="J330" t="s">
        <v>844</v>
      </c>
      <c r="K330" t="s">
        <v>74</v>
      </c>
      <c r="L330" t="s">
        <v>25</v>
      </c>
      <c r="M330" t="s">
        <v>106</v>
      </c>
      <c r="N330" t="s">
        <v>822</v>
      </c>
      <c r="O330">
        <v>1</v>
      </c>
      <c r="P330">
        <v>0</v>
      </c>
      <c r="Q330">
        <v>14</v>
      </c>
      <c r="R330" s="1">
        <v>46182.064143518517</v>
      </c>
      <c r="S330" s="1">
        <v>46205.863240740742</v>
      </c>
    </row>
    <row r="331" spans="1:19" x14ac:dyDescent="0.25">
      <c r="A331">
        <v>2010107014</v>
      </c>
      <c r="B331" t="s">
        <v>28</v>
      </c>
      <c r="C331" t="s">
        <v>29</v>
      </c>
      <c r="D331" t="s">
        <v>852</v>
      </c>
      <c r="E331" t="s">
        <v>853</v>
      </c>
      <c r="F331" t="e">
        <f>--ds-btn-radius-primary-line-height</f>
        <v>#NAME?</v>
      </c>
      <c r="G331">
        <v>1.25</v>
      </c>
      <c r="H331">
        <v>1.25</v>
      </c>
      <c r="I331" t="s">
        <v>32</v>
      </c>
      <c r="J331" t="s">
        <v>844</v>
      </c>
      <c r="K331" t="s">
        <v>74</v>
      </c>
      <c r="L331" t="s">
        <v>25</v>
      </c>
      <c r="M331" t="s">
        <v>109</v>
      </c>
      <c r="N331" t="s">
        <v>822</v>
      </c>
      <c r="O331">
        <v>1</v>
      </c>
      <c r="P331">
        <v>0</v>
      </c>
      <c r="Q331">
        <v>15</v>
      </c>
      <c r="R331" s="1">
        <v>46182.064143518517</v>
      </c>
      <c r="S331" s="1">
        <v>46205.863240740742</v>
      </c>
    </row>
    <row r="332" spans="1:19" x14ac:dyDescent="0.25">
      <c r="A332">
        <v>2010107015</v>
      </c>
      <c r="B332" t="s">
        <v>28</v>
      </c>
      <c r="C332" t="s">
        <v>29</v>
      </c>
      <c r="D332" t="s">
        <v>854</v>
      </c>
      <c r="E332" t="s">
        <v>855</v>
      </c>
      <c r="F332" t="e">
        <f>--ds-btn-radius-primary-radius</f>
        <v>#NAME?</v>
      </c>
      <c r="G332" t="s">
        <v>856</v>
      </c>
      <c r="H332" t="s">
        <v>856</v>
      </c>
      <c r="I332" t="s">
        <v>32</v>
      </c>
      <c r="J332" t="s">
        <v>844</v>
      </c>
      <c r="K332" t="s">
        <v>74</v>
      </c>
      <c r="L332" t="s">
        <v>25</v>
      </c>
      <c r="M332" t="s">
        <v>74</v>
      </c>
      <c r="N332" t="s">
        <v>822</v>
      </c>
      <c r="O332">
        <v>1</v>
      </c>
      <c r="P332">
        <v>0</v>
      </c>
      <c r="Q332">
        <v>16</v>
      </c>
      <c r="R332" s="1">
        <v>46182.064143518517</v>
      </c>
      <c r="S332" s="1">
        <v>46205.863240740742</v>
      </c>
    </row>
    <row r="333" spans="1:19" x14ac:dyDescent="0.25">
      <c r="A333">
        <v>2010107016</v>
      </c>
      <c r="B333" t="s">
        <v>28</v>
      </c>
      <c r="C333" t="s">
        <v>29</v>
      </c>
      <c r="D333" t="s">
        <v>857</v>
      </c>
      <c r="E333" t="s">
        <v>858</v>
      </c>
      <c r="F333" t="e">
        <f>--ds-btn-radius-primary-shadow</f>
        <v>#NAME?</v>
      </c>
      <c r="G333" t="s">
        <v>94</v>
      </c>
      <c r="H333" t="s">
        <v>94</v>
      </c>
      <c r="I333" t="s">
        <v>32</v>
      </c>
      <c r="J333" t="s">
        <v>69</v>
      </c>
      <c r="K333" t="s">
        <v>74</v>
      </c>
      <c r="L333" t="s">
        <v>25</v>
      </c>
      <c r="M333" t="s">
        <v>70</v>
      </c>
      <c r="N333" t="s">
        <v>822</v>
      </c>
      <c r="O333">
        <v>1</v>
      </c>
      <c r="P333">
        <v>0</v>
      </c>
      <c r="Q333">
        <v>17</v>
      </c>
      <c r="R333" s="1">
        <v>46182.064143518517</v>
      </c>
      <c r="S333" s="1">
        <v>46205.863240740742</v>
      </c>
    </row>
    <row r="334" spans="1:19" x14ac:dyDescent="0.25">
      <c r="A334">
        <v>2010107017</v>
      </c>
      <c r="B334" t="s">
        <v>28</v>
      </c>
      <c r="C334" t="s">
        <v>29</v>
      </c>
      <c r="D334" t="s">
        <v>859</v>
      </c>
      <c r="E334" t="s">
        <v>860</v>
      </c>
      <c r="F334" t="e">
        <f>--ds-btn-radius-primary-focus-ring</f>
        <v>#NAME?</v>
      </c>
      <c r="G334" t="s">
        <v>861</v>
      </c>
      <c r="H334" t="s">
        <v>861</v>
      </c>
      <c r="I334" t="s">
        <v>32</v>
      </c>
      <c r="J334" t="s">
        <v>69</v>
      </c>
      <c r="K334" t="s">
        <v>74</v>
      </c>
      <c r="L334" t="s">
        <v>25</v>
      </c>
      <c r="M334" t="s">
        <v>91</v>
      </c>
      <c r="N334" t="s">
        <v>822</v>
      </c>
      <c r="O334">
        <v>1</v>
      </c>
      <c r="P334">
        <v>0</v>
      </c>
      <c r="Q334">
        <v>18</v>
      </c>
      <c r="R334" s="1">
        <v>46182.064143518517</v>
      </c>
      <c r="S334" s="1">
        <v>46205.863240740742</v>
      </c>
    </row>
    <row r="335" spans="1:19" x14ac:dyDescent="0.25">
      <c r="A335">
        <v>2010107018</v>
      </c>
      <c r="B335" t="s">
        <v>28</v>
      </c>
      <c r="C335" t="s">
        <v>29</v>
      </c>
      <c r="D335" t="s">
        <v>862</v>
      </c>
      <c r="E335" t="s">
        <v>863</v>
      </c>
      <c r="F335" t="e">
        <f>--ds-btn-radius-primary-transition</f>
        <v>#NAME?</v>
      </c>
      <c r="G335" t="s">
        <v>98</v>
      </c>
      <c r="H335" t="s">
        <v>98</v>
      </c>
      <c r="I335" t="s">
        <v>32</v>
      </c>
      <c r="J335" t="s">
        <v>69</v>
      </c>
      <c r="K335" t="s">
        <v>74</v>
      </c>
      <c r="L335" t="s">
        <v>25</v>
      </c>
      <c r="M335" t="s">
        <v>99</v>
      </c>
      <c r="N335" t="s">
        <v>822</v>
      </c>
      <c r="O335">
        <v>1</v>
      </c>
      <c r="P335">
        <v>0</v>
      </c>
      <c r="Q335">
        <v>19</v>
      </c>
      <c r="R335" s="1">
        <v>46182.064143518517</v>
      </c>
      <c r="S335" s="1">
        <v>46205.863240740742</v>
      </c>
    </row>
    <row r="336" spans="1:19" x14ac:dyDescent="0.25">
      <c r="A336">
        <v>2010107100</v>
      </c>
      <c r="B336" t="s">
        <v>28</v>
      </c>
      <c r="C336" t="s">
        <v>29</v>
      </c>
      <c r="D336" t="s">
        <v>864</v>
      </c>
      <c r="E336" t="s">
        <v>865</v>
      </c>
      <c r="F336" t="e">
        <f>--ds-btn-radius-secondary-bg</f>
        <v>#NAME?</v>
      </c>
      <c r="G336" t="s">
        <v>60</v>
      </c>
      <c r="H336" t="s">
        <v>60</v>
      </c>
      <c r="I336" t="s">
        <v>32</v>
      </c>
      <c r="J336" t="s">
        <v>24</v>
      </c>
      <c r="K336" t="s">
        <v>74</v>
      </c>
      <c r="L336" t="s">
        <v>113</v>
      </c>
      <c r="M336" t="s">
        <v>26</v>
      </c>
      <c r="N336" t="s">
        <v>866</v>
      </c>
      <c r="O336">
        <v>1</v>
      </c>
      <c r="P336">
        <v>1</v>
      </c>
      <c r="Q336">
        <v>1</v>
      </c>
      <c r="R336" s="1">
        <v>46182.066805555558</v>
      </c>
      <c r="S336" s="1">
        <v>46205.863240740742</v>
      </c>
    </row>
    <row r="337" spans="1:19" x14ac:dyDescent="0.25">
      <c r="A337">
        <v>2010107101</v>
      </c>
      <c r="B337" t="s">
        <v>28</v>
      </c>
      <c r="C337" t="s">
        <v>29</v>
      </c>
      <c r="D337" t="s">
        <v>867</v>
      </c>
      <c r="E337" t="s">
        <v>868</v>
      </c>
      <c r="F337" t="e">
        <f>--ds-btn-radius-secondary-text</f>
        <v>#NAME?</v>
      </c>
      <c r="G337" t="s">
        <v>37</v>
      </c>
      <c r="H337" t="s">
        <v>37</v>
      </c>
      <c r="I337" t="s">
        <v>32</v>
      </c>
      <c r="J337" t="s">
        <v>24</v>
      </c>
      <c r="K337" t="s">
        <v>74</v>
      </c>
      <c r="L337" t="s">
        <v>113</v>
      </c>
      <c r="M337" t="s">
        <v>38</v>
      </c>
      <c r="N337" t="s">
        <v>866</v>
      </c>
      <c r="O337">
        <v>1</v>
      </c>
      <c r="P337">
        <v>1</v>
      </c>
      <c r="Q337">
        <v>2</v>
      </c>
      <c r="R337" s="1">
        <v>46182.066805555558</v>
      </c>
      <c r="S337" s="1">
        <v>46205.863240740742</v>
      </c>
    </row>
    <row r="338" spans="1:19" x14ac:dyDescent="0.25">
      <c r="A338">
        <v>2010107102</v>
      </c>
      <c r="B338" t="s">
        <v>28</v>
      </c>
      <c r="C338" t="s">
        <v>29</v>
      </c>
      <c r="D338" t="s">
        <v>869</v>
      </c>
      <c r="E338" t="s">
        <v>870</v>
      </c>
      <c r="F338" t="e">
        <f>--ds-btn-radius-secondary-border</f>
        <v>#NAME?</v>
      </c>
      <c r="G338" t="s">
        <v>871</v>
      </c>
      <c r="H338" t="s">
        <v>871</v>
      </c>
      <c r="I338" t="s">
        <v>32</v>
      </c>
      <c r="J338" t="s">
        <v>24</v>
      </c>
      <c r="K338" t="s">
        <v>74</v>
      </c>
      <c r="L338" t="s">
        <v>113</v>
      </c>
      <c r="M338" t="s">
        <v>42</v>
      </c>
      <c r="N338" t="s">
        <v>866</v>
      </c>
      <c r="O338">
        <v>1</v>
      </c>
      <c r="P338">
        <v>1</v>
      </c>
      <c r="Q338">
        <v>3</v>
      </c>
      <c r="R338" s="1">
        <v>46182.066805555558</v>
      </c>
      <c r="S338" s="1">
        <v>46205.863240740742</v>
      </c>
    </row>
    <row r="339" spans="1:19" x14ac:dyDescent="0.25">
      <c r="A339">
        <v>2010107103</v>
      </c>
      <c r="B339" t="s">
        <v>28</v>
      </c>
      <c r="C339" t="s">
        <v>29</v>
      </c>
      <c r="D339" t="s">
        <v>872</v>
      </c>
      <c r="E339" t="s">
        <v>873</v>
      </c>
      <c r="F339" t="e">
        <f>--ds-btn-radius-secondary-hover-bg</f>
        <v>#NAME?</v>
      </c>
      <c r="G339" t="s">
        <v>874</v>
      </c>
      <c r="H339" t="s">
        <v>874</v>
      </c>
      <c r="I339" t="s">
        <v>32</v>
      </c>
      <c r="J339" t="s">
        <v>24</v>
      </c>
      <c r="K339" t="s">
        <v>74</v>
      </c>
      <c r="L339" t="s">
        <v>113</v>
      </c>
      <c r="M339" t="s">
        <v>46</v>
      </c>
      <c r="N339" t="s">
        <v>866</v>
      </c>
      <c r="O339">
        <v>1</v>
      </c>
      <c r="P339">
        <v>1</v>
      </c>
      <c r="Q339">
        <v>4</v>
      </c>
      <c r="R339" s="1">
        <v>46182.066805555558</v>
      </c>
      <c r="S339" s="1">
        <v>46205.863240740742</v>
      </c>
    </row>
    <row r="340" spans="1:19" x14ac:dyDescent="0.25">
      <c r="A340">
        <v>2010107104</v>
      </c>
      <c r="B340" t="s">
        <v>28</v>
      </c>
      <c r="C340" t="s">
        <v>29</v>
      </c>
      <c r="D340" t="s">
        <v>875</v>
      </c>
      <c r="E340" t="s">
        <v>876</v>
      </c>
      <c r="F340" t="e">
        <f>--ds-btn-radius-secondary-hover-text</f>
        <v>#NAME?</v>
      </c>
      <c r="G340" t="s">
        <v>37</v>
      </c>
      <c r="H340" t="s">
        <v>37</v>
      </c>
      <c r="I340" t="s">
        <v>32</v>
      </c>
      <c r="J340" t="s">
        <v>24</v>
      </c>
      <c r="K340" t="s">
        <v>74</v>
      </c>
      <c r="L340" t="s">
        <v>113</v>
      </c>
      <c r="M340" t="s">
        <v>49</v>
      </c>
      <c r="N340" t="s">
        <v>866</v>
      </c>
      <c r="O340">
        <v>1</v>
      </c>
      <c r="P340">
        <v>1</v>
      </c>
      <c r="Q340">
        <v>5</v>
      </c>
      <c r="R340" s="1">
        <v>46182.066805555558</v>
      </c>
      <c r="S340" s="1">
        <v>46205.863240740742</v>
      </c>
    </row>
    <row r="341" spans="1:19" x14ac:dyDescent="0.25">
      <c r="A341">
        <v>2010107105</v>
      </c>
      <c r="B341" t="s">
        <v>28</v>
      </c>
      <c r="C341" t="s">
        <v>29</v>
      </c>
      <c r="D341" t="s">
        <v>877</v>
      </c>
      <c r="E341" t="s">
        <v>878</v>
      </c>
      <c r="F341" t="e">
        <f>--ds-btn-radius-secondary-hover-border</f>
        <v>#NAME?</v>
      </c>
      <c r="G341" t="s">
        <v>879</v>
      </c>
      <c r="H341" t="s">
        <v>879</v>
      </c>
      <c r="I341" t="s">
        <v>32</v>
      </c>
      <c r="J341" t="s">
        <v>24</v>
      </c>
      <c r="K341" t="s">
        <v>74</v>
      </c>
      <c r="L341" t="s">
        <v>113</v>
      </c>
      <c r="M341" t="s">
        <v>53</v>
      </c>
      <c r="N341" t="s">
        <v>866</v>
      </c>
      <c r="O341">
        <v>1</v>
      </c>
      <c r="P341">
        <v>1</v>
      </c>
      <c r="Q341">
        <v>6</v>
      </c>
      <c r="R341" s="1">
        <v>46182.066805555558</v>
      </c>
      <c r="S341" s="1">
        <v>46205.863240740742</v>
      </c>
    </row>
    <row r="342" spans="1:19" x14ac:dyDescent="0.25">
      <c r="A342">
        <v>2010107106</v>
      </c>
      <c r="B342" t="s">
        <v>28</v>
      </c>
      <c r="C342" t="s">
        <v>29</v>
      </c>
      <c r="D342" t="s">
        <v>880</v>
      </c>
      <c r="E342" t="s">
        <v>881</v>
      </c>
      <c r="F342" t="e">
        <f>--ds-btn-radius-secondary-disabled-bg</f>
        <v>#NAME?</v>
      </c>
      <c r="G342" t="s">
        <v>432</v>
      </c>
      <c r="H342" t="s">
        <v>432</v>
      </c>
      <c r="I342" t="s">
        <v>32</v>
      </c>
      <c r="J342" t="s">
        <v>24</v>
      </c>
      <c r="K342" t="s">
        <v>74</v>
      </c>
      <c r="L342" t="s">
        <v>113</v>
      </c>
      <c r="M342" t="s">
        <v>57</v>
      </c>
      <c r="N342" t="s">
        <v>866</v>
      </c>
      <c r="O342">
        <v>1</v>
      </c>
      <c r="P342">
        <v>1</v>
      </c>
      <c r="Q342">
        <v>7</v>
      </c>
      <c r="R342" s="1">
        <v>46182.066805555558</v>
      </c>
      <c r="S342" s="1">
        <v>46205.863240740742</v>
      </c>
    </row>
    <row r="343" spans="1:19" x14ac:dyDescent="0.25">
      <c r="A343">
        <v>2010107107</v>
      </c>
      <c r="B343" t="s">
        <v>28</v>
      </c>
      <c r="C343" t="s">
        <v>29</v>
      </c>
      <c r="D343" t="s">
        <v>882</v>
      </c>
      <c r="E343" t="s">
        <v>883</v>
      </c>
      <c r="F343" t="e">
        <f>--ds-btn-radius-secondary-disabled-text</f>
        <v>#NAME?</v>
      </c>
      <c r="G343" t="s">
        <v>60</v>
      </c>
      <c r="H343" t="s">
        <v>60</v>
      </c>
      <c r="I343" t="s">
        <v>32</v>
      </c>
      <c r="J343" t="s">
        <v>24</v>
      </c>
      <c r="K343" t="s">
        <v>74</v>
      </c>
      <c r="L343" t="s">
        <v>113</v>
      </c>
      <c r="M343" t="s">
        <v>61</v>
      </c>
      <c r="N343" t="s">
        <v>866</v>
      </c>
      <c r="O343">
        <v>1</v>
      </c>
      <c r="P343">
        <v>1</v>
      </c>
      <c r="Q343">
        <v>8</v>
      </c>
      <c r="R343" s="1">
        <v>46182.066805555558</v>
      </c>
      <c r="S343" s="1">
        <v>46205.863240740742</v>
      </c>
    </row>
    <row r="344" spans="1:19" x14ac:dyDescent="0.25">
      <c r="A344">
        <v>2010107108</v>
      </c>
      <c r="B344" t="s">
        <v>28</v>
      </c>
      <c r="C344" t="s">
        <v>29</v>
      </c>
      <c r="D344" t="s">
        <v>884</v>
      </c>
      <c r="E344" t="s">
        <v>885</v>
      </c>
      <c r="F344" t="e">
        <f>--ds-btn-radius-secondary-disabled-border</f>
        <v>#NAME?</v>
      </c>
      <c r="G344" t="s">
        <v>447</v>
      </c>
      <c r="H344" t="s">
        <v>447</v>
      </c>
      <c r="I344" t="s">
        <v>32</v>
      </c>
      <c r="J344" t="s">
        <v>24</v>
      </c>
      <c r="K344" t="s">
        <v>74</v>
      </c>
      <c r="L344" t="s">
        <v>113</v>
      </c>
      <c r="M344" t="s">
        <v>65</v>
      </c>
      <c r="N344" t="s">
        <v>866</v>
      </c>
      <c r="O344">
        <v>1</v>
      </c>
      <c r="P344">
        <v>1</v>
      </c>
      <c r="Q344">
        <v>9</v>
      </c>
      <c r="R344" s="1">
        <v>46182.066805555558</v>
      </c>
      <c r="S344" s="1">
        <v>46205.863240740742</v>
      </c>
    </row>
    <row r="345" spans="1:19" x14ac:dyDescent="0.25">
      <c r="A345">
        <v>2010107109</v>
      </c>
      <c r="B345" t="s">
        <v>28</v>
      </c>
      <c r="C345" t="s">
        <v>29</v>
      </c>
      <c r="D345" t="s">
        <v>886</v>
      </c>
      <c r="E345" t="s">
        <v>887</v>
      </c>
      <c r="F345" t="e">
        <f>--ds-btn-radius-secondary-icon-color</f>
        <v>#NAME?</v>
      </c>
      <c r="G345" t="s">
        <v>37</v>
      </c>
      <c r="H345" t="s">
        <v>37</v>
      </c>
      <c r="I345" t="s">
        <v>32</v>
      </c>
      <c r="J345" t="s">
        <v>24</v>
      </c>
      <c r="K345" t="s">
        <v>74</v>
      </c>
      <c r="L345" t="s">
        <v>113</v>
      </c>
      <c r="M345" t="s">
        <v>102</v>
      </c>
      <c r="N345" t="s">
        <v>866</v>
      </c>
      <c r="O345">
        <v>1</v>
      </c>
      <c r="P345">
        <v>1</v>
      </c>
      <c r="Q345">
        <v>10</v>
      </c>
      <c r="R345" s="1">
        <v>46182.066805555558</v>
      </c>
      <c r="S345" s="1">
        <v>46205.863240740742</v>
      </c>
    </row>
    <row r="346" spans="1:19" x14ac:dyDescent="0.25">
      <c r="A346">
        <v>2010107110</v>
      </c>
      <c r="B346" t="s">
        <v>28</v>
      </c>
      <c r="C346" t="s">
        <v>29</v>
      </c>
      <c r="D346" t="s">
        <v>888</v>
      </c>
      <c r="E346" t="s">
        <v>889</v>
      </c>
      <c r="F346" t="e">
        <f>--ds-btn-radius-secondary-padding-x</f>
        <v>#NAME?</v>
      </c>
      <c r="G346" t="s">
        <v>843</v>
      </c>
      <c r="H346" t="s">
        <v>843</v>
      </c>
      <c r="I346" t="s">
        <v>32</v>
      </c>
      <c r="J346" t="s">
        <v>844</v>
      </c>
      <c r="K346" t="s">
        <v>74</v>
      </c>
      <c r="L346" t="s">
        <v>113</v>
      </c>
      <c r="M346" t="s">
        <v>79</v>
      </c>
      <c r="N346" t="s">
        <v>866</v>
      </c>
      <c r="O346">
        <v>1</v>
      </c>
      <c r="P346">
        <v>0</v>
      </c>
      <c r="Q346">
        <v>11</v>
      </c>
      <c r="R346" s="1">
        <v>46182.066805555558</v>
      </c>
      <c r="S346" s="1">
        <v>46205.863240740742</v>
      </c>
    </row>
    <row r="347" spans="1:19" x14ac:dyDescent="0.25">
      <c r="A347">
        <v>2010107111</v>
      </c>
      <c r="B347" t="s">
        <v>28</v>
      </c>
      <c r="C347" t="s">
        <v>29</v>
      </c>
      <c r="D347" t="s">
        <v>890</v>
      </c>
      <c r="E347" t="s">
        <v>891</v>
      </c>
      <c r="F347" t="e">
        <f>--ds-btn-radius-secondary-padding-y</f>
        <v>#NAME?</v>
      </c>
      <c r="G347" t="s">
        <v>847</v>
      </c>
      <c r="H347" t="s">
        <v>847</v>
      </c>
      <c r="I347" t="s">
        <v>32</v>
      </c>
      <c r="J347" t="s">
        <v>844</v>
      </c>
      <c r="K347" t="s">
        <v>74</v>
      </c>
      <c r="L347" t="s">
        <v>113</v>
      </c>
      <c r="M347" t="s">
        <v>83</v>
      </c>
      <c r="N347" t="s">
        <v>866</v>
      </c>
      <c r="O347">
        <v>1</v>
      </c>
      <c r="P347">
        <v>0</v>
      </c>
      <c r="Q347">
        <v>12</v>
      </c>
      <c r="R347" s="1">
        <v>46182.066805555558</v>
      </c>
      <c r="S347" s="1">
        <v>46205.863240740742</v>
      </c>
    </row>
    <row r="348" spans="1:19" x14ac:dyDescent="0.25">
      <c r="A348">
        <v>2010107112</v>
      </c>
      <c r="B348" t="s">
        <v>28</v>
      </c>
      <c r="C348" t="s">
        <v>29</v>
      </c>
      <c r="D348" t="s">
        <v>892</v>
      </c>
      <c r="E348" t="s">
        <v>893</v>
      </c>
      <c r="F348" t="e">
        <f>--ds-btn-radius-secondary-gap</f>
        <v>#NAME?</v>
      </c>
      <c r="G348" t="s">
        <v>847</v>
      </c>
      <c r="H348" t="s">
        <v>847</v>
      </c>
      <c r="I348" t="s">
        <v>32</v>
      </c>
      <c r="J348" t="s">
        <v>844</v>
      </c>
      <c r="K348" t="s">
        <v>74</v>
      </c>
      <c r="L348" t="s">
        <v>113</v>
      </c>
      <c r="M348" t="s">
        <v>87</v>
      </c>
      <c r="N348" t="s">
        <v>866</v>
      </c>
      <c r="O348">
        <v>1</v>
      </c>
      <c r="P348">
        <v>0</v>
      </c>
      <c r="Q348">
        <v>13</v>
      </c>
      <c r="R348" s="1">
        <v>46182.066805555558</v>
      </c>
      <c r="S348" s="1">
        <v>46205.863240740742</v>
      </c>
    </row>
    <row r="349" spans="1:19" x14ac:dyDescent="0.25">
      <c r="A349">
        <v>2010107113</v>
      </c>
      <c r="B349" t="s">
        <v>28</v>
      </c>
      <c r="C349" t="s">
        <v>29</v>
      </c>
      <c r="D349" t="s">
        <v>894</v>
      </c>
      <c r="E349" t="s">
        <v>895</v>
      </c>
      <c r="F349" t="e">
        <f>--ds-btn-radius-secondary-icon-size</f>
        <v>#NAME?</v>
      </c>
      <c r="G349" t="s">
        <v>843</v>
      </c>
      <c r="H349" t="s">
        <v>843</v>
      </c>
      <c r="I349" t="s">
        <v>32</v>
      </c>
      <c r="J349" t="s">
        <v>844</v>
      </c>
      <c r="K349" t="s">
        <v>74</v>
      </c>
      <c r="L349" t="s">
        <v>113</v>
      </c>
      <c r="M349" t="s">
        <v>106</v>
      </c>
      <c r="N349" t="s">
        <v>866</v>
      </c>
      <c r="O349">
        <v>1</v>
      </c>
      <c r="P349">
        <v>0</v>
      </c>
      <c r="Q349">
        <v>14</v>
      </c>
      <c r="R349" s="1">
        <v>46182.066805555558</v>
      </c>
      <c r="S349" s="1">
        <v>46205.863240740742</v>
      </c>
    </row>
    <row r="350" spans="1:19" x14ac:dyDescent="0.25">
      <c r="A350">
        <v>2010107114</v>
      </c>
      <c r="B350" t="s">
        <v>28</v>
      </c>
      <c r="C350" t="s">
        <v>29</v>
      </c>
      <c r="D350" t="s">
        <v>896</v>
      </c>
      <c r="E350" t="s">
        <v>897</v>
      </c>
      <c r="F350" t="e">
        <f>--ds-btn-radius-secondary-line-height</f>
        <v>#NAME?</v>
      </c>
      <c r="G350">
        <v>1.25</v>
      </c>
      <c r="H350">
        <v>1.25</v>
      </c>
      <c r="I350" t="s">
        <v>32</v>
      </c>
      <c r="J350" t="s">
        <v>844</v>
      </c>
      <c r="K350" t="s">
        <v>74</v>
      </c>
      <c r="L350" t="s">
        <v>113</v>
      </c>
      <c r="M350" t="s">
        <v>109</v>
      </c>
      <c r="N350" t="s">
        <v>866</v>
      </c>
      <c r="O350">
        <v>1</v>
      </c>
      <c r="P350">
        <v>0</v>
      </c>
      <c r="Q350">
        <v>15</v>
      </c>
      <c r="R350" s="1">
        <v>46182.066805555558</v>
      </c>
      <c r="S350" s="1">
        <v>46205.863240740742</v>
      </c>
    </row>
    <row r="351" spans="1:19" x14ac:dyDescent="0.25">
      <c r="A351">
        <v>2010107115</v>
      </c>
      <c r="B351" t="s">
        <v>28</v>
      </c>
      <c r="C351" t="s">
        <v>29</v>
      </c>
      <c r="D351" t="s">
        <v>898</v>
      </c>
      <c r="E351" t="s">
        <v>899</v>
      </c>
      <c r="F351" t="e">
        <f>--ds-btn-radius-secondary-radius</f>
        <v>#NAME?</v>
      </c>
      <c r="G351" t="s">
        <v>856</v>
      </c>
      <c r="H351" t="s">
        <v>856</v>
      </c>
      <c r="I351" t="s">
        <v>32</v>
      </c>
      <c r="J351" t="s">
        <v>844</v>
      </c>
      <c r="K351" t="s">
        <v>74</v>
      </c>
      <c r="L351" t="s">
        <v>113</v>
      </c>
      <c r="M351" t="s">
        <v>74</v>
      </c>
      <c r="N351" t="s">
        <v>866</v>
      </c>
      <c r="O351">
        <v>1</v>
      </c>
      <c r="P351">
        <v>0</v>
      </c>
      <c r="Q351">
        <v>16</v>
      </c>
      <c r="R351" s="1">
        <v>46182.066805555558</v>
      </c>
      <c r="S351" s="1">
        <v>46205.863240740742</v>
      </c>
    </row>
    <row r="352" spans="1:19" x14ac:dyDescent="0.25">
      <c r="A352">
        <v>2010107116</v>
      </c>
      <c r="B352" t="s">
        <v>28</v>
      </c>
      <c r="C352" t="s">
        <v>29</v>
      </c>
      <c r="D352" t="s">
        <v>900</v>
      </c>
      <c r="E352" t="s">
        <v>901</v>
      </c>
      <c r="F352" t="e">
        <f>--ds-btn-radius-secondary-shadow</f>
        <v>#NAME?</v>
      </c>
      <c r="G352" t="s">
        <v>94</v>
      </c>
      <c r="H352" t="s">
        <v>94</v>
      </c>
      <c r="I352" t="s">
        <v>32</v>
      </c>
      <c r="J352" t="s">
        <v>69</v>
      </c>
      <c r="K352" t="s">
        <v>74</v>
      </c>
      <c r="L352" t="s">
        <v>113</v>
      </c>
      <c r="M352" t="s">
        <v>70</v>
      </c>
      <c r="N352" t="s">
        <v>866</v>
      </c>
      <c r="O352">
        <v>1</v>
      </c>
      <c r="P352">
        <v>0</v>
      </c>
      <c r="Q352">
        <v>17</v>
      </c>
      <c r="R352" s="1">
        <v>46182.066805555558</v>
      </c>
      <c r="S352" s="1">
        <v>46205.863240740742</v>
      </c>
    </row>
    <row r="353" spans="1:19" x14ac:dyDescent="0.25">
      <c r="A353">
        <v>2010107117</v>
      </c>
      <c r="B353" t="s">
        <v>28</v>
      </c>
      <c r="C353" t="s">
        <v>29</v>
      </c>
      <c r="D353" t="s">
        <v>902</v>
      </c>
      <c r="E353" t="s">
        <v>903</v>
      </c>
      <c r="F353" t="e">
        <f>--ds-btn-radius-secondary-focus-ring</f>
        <v>#NAME?</v>
      </c>
      <c r="G353" t="s">
        <v>904</v>
      </c>
      <c r="H353" t="s">
        <v>904</v>
      </c>
      <c r="I353" t="s">
        <v>32</v>
      </c>
      <c r="J353" t="s">
        <v>69</v>
      </c>
      <c r="K353" t="s">
        <v>74</v>
      </c>
      <c r="L353" t="s">
        <v>113</v>
      </c>
      <c r="M353" t="s">
        <v>91</v>
      </c>
      <c r="N353" t="s">
        <v>866</v>
      </c>
      <c r="O353">
        <v>1</v>
      </c>
      <c r="P353">
        <v>0</v>
      </c>
      <c r="Q353">
        <v>18</v>
      </c>
      <c r="R353" s="1">
        <v>46182.066805555558</v>
      </c>
      <c r="S353" s="1">
        <v>46205.863240740742</v>
      </c>
    </row>
    <row r="354" spans="1:19" x14ac:dyDescent="0.25">
      <c r="A354">
        <v>2010107118</v>
      </c>
      <c r="B354" t="s">
        <v>28</v>
      </c>
      <c r="C354" t="s">
        <v>29</v>
      </c>
      <c r="D354" t="s">
        <v>905</v>
      </c>
      <c r="E354" t="s">
        <v>906</v>
      </c>
      <c r="F354" t="e">
        <f>--ds-btn-radius-secondary-transition</f>
        <v>#NAME?</v>
      </c>
      <c r="G354" t="s">
        <v>98</v>
      </c>
      <c r="H354" t="s">
        <v>98</v>
      </c>
      <c r="I354" t="s">
        <v>32</v>
      </c>
      <c r="J354" t="s">
        <v>69</v>
      </c>
      <c r="K354" t="s">
        <v>74</v>
      </c>
      <c r="L354" t="s">
        <v>113</v>
      </c>
      <c r="M354" t="s">
        <v>99</v>
      </c>
      <c r="N354" t="s">
        <v>866</v>
      </c>
      <c r="O354">
        <v>1</v>
      </c>
      <c r="P354">
        <v>0</v>
      </c>
      <c r="Q354">
        <v>19</v>
      </c>
      <c r="R354" s="1">
        <v>46182.066805555558</v>
      </c>
      <c r="S354" s="1">
        <v>46205.863240740742</v>
      </c>
    </row>
    <row r="355" spans="1:19" x14ac:dyDescent="0.25">
      <c r="A355">
        <v>2010107200</v>
      </c>
      <c r="B355" t="s">
        <v>28</v>
      </c>
      <c r="C355" t="s">
        <v>29</v>
      </c>
      <c r="D355" t="s">
        <v>907</v>
      </c>
      <c r="E355" t="s">
        <v>908</v>
      </c>
      <c r="F355" t="e">
        <f>--ds-btn-radius-success-bg</f>
        <v>#NAME?</v>
      </c>
      <c r="G355" t="s">
        <v>138</v>
      </c>
      <c r="H355" t="s">
        <v>138</v>
      </c>
      <c r="I355" t="s">
        <v>32</v>
      </c>
      <c r="J355" t="s">
        <v>24</v>
      </c>
      <c r="K355" t="s">
        <v>74</v>
      </c>
      <c r="L355" t="s">
        <v>139</v>
      </c>
      <c r="M355" t="s">
        <v>26</v>
      </c>
      <c r="N355" t="s">
        <v>909</v>
      </c>
      <c r="O355">
        <v>1</v>
      </c>
      <c r="P355">
        <v>1</v>
      </c>
      <c r="Q355">
        <v>1</v>
      </c>
      <c r="R355" s="1">
        <v>46182.067002314812</v>
      </c>
      <c r="S355" s="1">
        <v>46205.863240740742</v>
      </c>
    </row>
    <row r="356" spans="1:19" x14ac:dyDescent="0.25">
      <c r="A356">
        <v>2010107201</v>
      </c>
      <c r="B356" t="s">
        <v>28</v>
      </c>
      <c r="C356" t="s">
        <v>29</v>
      </c>
      <c r="D356" t="s">
        <v>910</v>
      </c>
      <c r="E356" t="s">
        <v>911</v>
      </c>
      <c r="F356" t="e">
        <f>--ds-btn-radius-success-text</f>
        <v>#NAME?</v>
      </c>
      <c r="G356" t="s">
        <v>37</v>
      </c>
      <c r="H356" t="s">
        <v>37</v>
      </c>
      <c r="I356" t="s">
        <v>32</v>
      </c>
      <c r="J356" t="s">
        <v>24</v>
      </c>
      <c r="K356" t="s">
        <v>74</v>
      </c>
      <c r="L356" t="s">
        <v>139</v>
      </c>
      <c r="M356" t="s">
        <v>38</v>
      </c>
      <c r="N356" t="s">
        <v>909</v>
      </c>
      <c r="O356">
        <v>1</v>
      </c>
      <c r="P356">
        <v>1</v>
      </c>
      <c r="Q356">
        <v>2</v>
      </c>
      <c r="R356" s="1">
        <v>46182.067002314812</v>
      </c>
      <c r="S356" s="1">
        <v>46205.863240740742</v>
      </c>
    </row>
    <row r="357" spans="1:19" x14ac:dyDescent="0.25">
      <c r="A357">
        <v>2010107202</v>
      </c>
      <c r="B357" t="s">
        <v>28</v>
      </c>
      <c r="C357" t="s">
        <v>29</v>
      </c>
      <c r="D357" t="s">
        <v>912</v>
      </c>
      <c r="E357" t="s">
        <v>913</v>
      </c>
      <c r="F357" t="e">
        <f>--ds-btn-radius-success-border</f>
        <v>#NAME?</v>
      </c>
      <c r="G357" t="s">
        <v>622</v>
      </c>
      <c r="H357" t="s">
        <v>622</v>
      </c>
      <c r="I357" t="s">
        <v>32</v>
      </c>
      <c r="J357" t="s">
        <v>24</v>
      </c>
      <c r="K357" t="s">
        <v>74</v>
      </c>
      <c r="L357" t="s">
        <v>139</v>
      </c>
      <c r="M357" t="s">
        <v>42</v>
      </c>
      <c r="N357" t="s">
        <v>909</v>
      </c>
      <c r="O357">
        <v>1</v>
      </c>
      <c r="P357">
        <v>1</v>
      </c>
      <c r="Q357">
        <v>3</v>
      </c>
      <c r="R357" s="1">
        <v>46182.067002314812</v>
      </c>
      <c r="S357" s="1">
        <v>46205.863240740742</v>
      </c>
    </row>
    <row r="358" spans="1:19" x14ac:dyDescent="0.25">
      <c r="A358">
        <v>2010107203</v>
      </c>
      <c r="B358" t="s">
        <v>28</v>
      </c>
      <c r="C358" t="s">
        <v>29</v>
      </c>
      <c r="D358" t="s">
        <v>914</v>
      </c>
      <c r="E358" t="s">
        <v>915</v>
      </c>
      <c r="F358" t="e">
        <f>--ds-btn-radius-success-hover-bg</f>
        <v>#NAME?</v>
      </c>
      <c r="G358" t="s">
        <v>147</v>
      </c>
      <c r="H358" t="s">
        <v>147</v>
      </c>
      <c r="I358" t="s">
        <v>32</v>
      </c>
      <c r="J358" t="s">
        <v>24</v>
      </c>
      <c r="K358" t="s">
        <v>74</v>
      </c>
      <c r="L358" t="s">
        <v>139</v>
      </c>
      <c r="M358" t="s">
        <v>46</v>
      </c>
      <c r="N358" t="s">
        <v>909</v>
      </c>
      <c r="O358">
        <v>1</v>
      </c>
      <c r="P358">
        <v>1</v>
      </c>
      <c r="Q358">
        <v>4</v>
      </c>
      <c r="R358" s="1">
        <v>46182.067002314812</v>
      </c>
      <c r="S358" s="1">
        <v>46205.863240740742</v>
      </c>
    </row>
    <row r="359" spans="1:19" x14ac:dyDescent="0.25">
      <c r="A359">
        <v>2010107204</v>
      </c>
      <c r="B359" t="s">
        <v>28</v>
      </c>
      <c r="C359" t="s">
        <v>29</v>
      </c>
      <c r="D359" t="s">
        <v>916</v>
      </c>
      <c r="E359" t="s">
        <v>917</v>
      </c>
      <c r="F359" t="e">
        <f>--ds-btn-radius-success-hover-text</f>
        <v>#NAME?</v>
      </c>
      <c r="G359" t="s">
        <v>37</v>
      </c>
      <c r="H359" t="s">
        <v>37</v>
      </c>
      <c r="I359" t="s">
        <v>32</v>
      </c>
      <c r="J359" t="s">
        <v>24</v>
      </c>
      <c r="K359" t="s">
        <v>74</v>
      </c>
      <c r="L359" t="s">
        <v>139</v>
      </c>
      <c r="M359" t="s">
        <v>49</v>
      </c>
      <c r="N359" t="s">
        <v>909</v>
      </c>
      <c r="O359">
        <v>1</v>
      </c>
      <c r="P359">
        <v>1</v>
      </c>
      <c r="Q359">
        <v>5</v>
      </c>
      <c r="R359" s="1">
        <v>46182.067002314812</v>
      </c>
      <c r="S359" s="1">
        <v>46205.863240740742</v>
      </c>
    </row>
    <row r="360" spans="1:19" x14ac:dyDescent="0.25">
      <c r="A360">
        <v>2010107205</v>
      </c>
      <c r="B360" t="s">
        <v>28</v>
      </c>
      <c r="C360" t="s">
        <v>29</v>
      </c>
      <c r="D360" t="s">
        <v>918</v>
      </c>
      <c r="E360" t="s">
        <v>919</v>
      </c>
      <c r="F360" t="e">
        <f>--ds-btn-radius-success-hover-border</f>
        <v>#NAME?</v>
      </c>
      <c r="G360" t="s">
        <v>920</v>
      </c>
      <c r="H360" t="s">
        <v>920</v>
      </c>
      <c r="I360" t="s">
        <v>32</v>
      </c>
      <c r="J360" t="s">
        <v>24</v>
      </c>
      <c r="K360" t="s">
        <v>74</v>
      </c>
      <c r="L360" t="s">
        <v>139</v>
      </c>
      <c r="M360" t="s">
        <v>53</v>
      </c>
      <c r="N360" t="s">
        <v>909</v>
      </c>
      <c r="O360">
        <v>1</v>
      </c>
      <c r="P360">
        <v>1</v>
      </c>
      <c r="Q360">
        <v>6</v>
      </c>
      <c r="R360" s="1">
        <v>46182.067002314812</v>
      </c>
      <c r="S360" s="1">
        <v>46205.863240740742</v>
      </c>
    </row>
    <row r="361" spans="1:19" x14ac:dyDescent="0.25">
      <c r="A361">
        <v>2010107206</v>
      </c>
      <c r="B361" t="s">
        <v>28</v>
      </c>
      <c r="C361" t="s">
        <v>29</v>
      </c>
      <c r="D361" t="s">
        <v>921</v>
      </c>
      <c r="E361" t="s">
        <v>922</v>
      </c>
      <c r="F361" t="e">
        <f>--ds-btn-radius-success-disabled-bg</f>
        <v>#NAME?</v>
      </c>
      <c r="G361" t="s">
        <v>461</v>
      </c>
      <c r="H361" t="s">
        <v>461</v>
      </c>
      <c r="I361" t="s">
        <v>32</v>
      </c>
      <c r="J361" t="s">
        <v>24</v>
      </c>
      <c r="K361" t="s">
        <v>74</v>
      </c>
      <c r="L361" t="s">
        <v>139</v>
      </c>
      <c r="M361" t="s">
        <v>57</v>
      </c>
      <c r="N361" t="s">
        <v>909</v>
      </c>
      <c r="O361">
        <v>1</v>
      </c>
      <c r="P361">
        <v>1</v>
      </c>
      <c r="Q361">
        <v>7</v>
      </c>
      <c r="R361" s="1">
        <v>46182.067002314812</v>
      </c>
      <c r="S361" s="1">
        <v>46205.863240740742</v>
      </c>
    </row>
    <row r="362" spans="1:19" x14ac:dyDescent="0.25">
      <c r="A362">
        <v>2010107207</v>
      </c>
      <c r="B362" t="s">
        <v>28</v>
      </c>
      <c r="C362" t="s">
        <v>29</v>
      </c>
      <c r="D362" t="s">
        <v>923</v>
      </c>
      <c r="E362" t="s">
        <v>924</v>
      </c>
      <c r="F362" t="e">
        <f>--ds-btn-radius-success-disabled-text</f>
        <v>#NAME?</v>
      </c>
      <c r="G362" t="s">
        <v>60</v>
      </c>
      <c r="H362" t="s">
        <v>60</v>
      </c>
      <c r="I362" t="s">
        <v>32</v>
      </c>
      <c r="J362" t="s">
        <v>24</v>
      </c>
      <c r="K362" t="s">
        <v>74</v>
      </c>
      <c r="L362" t="s">
        <v>139</v>
      </c>
      <c r="M362" t="s">
        <v>61</v>
      </c>
      <c r="N362" t="s">
        <v>909</v>
      </c>
      <c r="O362">
        <v>1</v>
      </c>
      <c r="P362">
        <v>1</v>
      </c>
      <c r="Q362">
        <v>8</v>
      </c>
      <c r="R362" s="1">
        <v>46182.067002314812</v>
      </c>
      <c r="S362" s="1">
        <v>46205.863240740742</v>
      </c>
    </row>
    <row r="363" spans="1:19" x14ac:dyDescent="0.25">
      <c r="A363">
        <v>2010107208</v>
      </c>
      <c r="B363" t="s">
        <v>28</v>
      </c>
      <c r="C363" t="s">
        <v>29</v>
      </c>
      <c r="D363" t="s">
        <v>925</v>
      </c>
      <c r="E363" t="s">
        <v>926</v>
      </c>
      <c r="F363" t="e">
        <f>--ds-btn-radius-success-disabled-border</f>
        <v>#NAME?</v>
      </c>
      <c r="G363" t="s">
        <v>470</v>
      </c>
      <c r="H363" t="s">
        <v>470</v>
      </c>
      <c r="I363" t="s">
        <v>32</v>
      </c>
      <c r="J363" t="s">
        <v>24</v>
      </c>
      <c r="K363" t="s">
        <v>74</v>
      </c>
      <c r="L363" t="s">
        <v>139</v>
      </c>
      <c r="M363" t="s">
        <v>65</v>
      </c>
      <c r="N363" t="s">
        <v>909</v>
      </c>
      <c r="O363">
        <v>1</v>
      </c>
      <c r="P363">
        <v>1</v>
      </c>
      <c r="Q363">
        <v>9</v>
      </c>
      <c r="R363" s="1">
        <v>46182.067002314812</v>
      </c>
      <c r="S363" s="1">
        <v>46205.863240740742</v>
      </c>
    </row>
    <row r="364" spans="1:19" x14ac:dyDescent="0.25">
      <c r="A364">
        <v>2010107209</v>
      </c>
      <c r="B364" t="s">
        <v>28</v>
      </c>
      <c r="C364" t="s">
        <v>29</v>
      </c>
      <c r="D364" t="s">
        <v>927</v>
      </c>
      <c r="E364" t="s">
        <v>928</v>
      </c>
      <c r="F364" t="e">
        <f>--ds-btn-radius-success-icon-color</f>
        <v>#NAME?</v>
      </c>
      <c r="G364" t="s">
        <v>37</v>
      </c>
      <c r="H364" t="s">
        <v>37</v>
      </c>
      <c r="I364" t="s">
        <v>32</v>
      </c>
      <c r="J364" t="s">
        <v>24</v>
      </c>
      <c r="K364" t="s">
        <v>74</v>
      </c>
      <c r="L364" t="s">
        <v>139</v>
      </c>
      <c r="M364" t="s">
        <v>102</v>
      </c>
      <c r="N364" t="s">
        <v>909</v>
      </c>
      <c r="O364">
        <v>1</v>
      </c>
      <c r="P364">
        <v>1</v>
      </c>
      <c r="Q364">
        <v>10</v>
      </c>
      <c r="R364" s="1">
        <v>46182.067002314812</v>
      </c>
      <c r="S364" s="1">
        <v>46205.863240740742</v>
      </c>
    </row>
    <row r="365" spans="1:19" x14ac:dyDescent="0.25">
      <c r="A365">
        <v>2010107210</v>
      </c>
      <c r="B365" t="s">
        <v>28</v>
      </c>
      <c r="C365" t="s">
        <v>29</v>
      </c>
      <c r="D365" t="s">
        <v>929</v>
      </c>
      <c r="E365" t="s">
        <v>930</v>
      </c>
      <c r="F365" t="e">
        <f>--ds-btn-radius-success-padding-x</f>
        <v>#NAME?</v>
      </c>
      <c r="G365" t="s">
        <v>843</v>
      </c>
      <c r="H365" t="s">
        <v>843</v>
      </c>
      <c r="I365" t="s">
        <v>32</v>
      </c>
      <c r="J365" t="s">
        <v>844</v>
      </c>
      <c r="K365" t="s">
        <v>74</v>
      </c>
      <c r="L365" t="s">
        <v>139</v>
      </c>
      <c r="M365" t="s">
        <v>79</v>
      </c>
      <c r="N365" t="s">
        <v>909</v>
      </c>
      <c r="O365">
        <v>1</v>
      </c>
      <c r="P365">
        <v>0</v>
      </c>
      <c r="Q365">
        <v>11</v>
      </c>
      <c r="R365" s="1">
        <v>46182.067002314812</v>
      </c>
      <c r="S365" s="1">
        <v>46205.863240740742</v>
      </c>
    </row>
    <row r="366" spans="1:19" x14ac:dyDescent="0.25">
      <c r="A366">
        <v>2010107211</v>
      </c>
      <c r="B366" t="s">
        <v>28</v>
      </c>
      <c r="C366" t="s">
        <v>29</v>
      </c>
      <c r="D366" t="s">
        <v>931</v>
      </c>
      <c r="E366" t="s">
        <v>932</v>
      </c>
      <c r="F366" t="e">
        <f>--ds-btn-radius-success-padding-y</f>
        <v>#NAME?</v>
      </c>
      <c r="G366" t="s">
        <v>847</v>
      </c>
      <c r="H366" t="s">
        <v>847</v>
      </c>
      <c r="I366" t="s">
        <v>32</v>
      </c>
      <c r="J366" t="s">
        <v>844</v>
      </c>
      <c r="K366" t="s">
        <v>74</v>
      </c>
      <c r="L366" t="s">
        <v>139</v>
      </c>
      <c r="M366" t="s">
        <v>83</v>
      </c>
      <c r="N366" t="s">
        <v>909</v>
      </c>
      <c r="O366">
        <v>1</v>
      </c>
      <c r="P366">
        <v>0</v>
      </c>
      <c r="Q366">
        <v>12</v>
      </c>
      <c r="R366" s="1">
        <v>46182.067002314812</v>
      </c>
      <c r="S366" s="1">
        <v>46205.863240740742</v>
      </c>
    </row>
    <row r="367" spans="1:19" x14ac:dyDescent="0.25">
      <c r="A367">
        <v>2010107212</v>
      </c>
      <c r="B367" t="s">
        <v>28</v>
      </c>
      <c r="C367" t="s">
        <v>29</v>
      </c>
      <c r="D367" t="s">
        <v>933</v>
      </c>
      <c r="E367" t="s">
        <v>934</v>
      </c>
      <c r="F367" t="e">
        <f>--ds-btn-radius-success-gap</f>
        <v>#NAME?</v>
      </c>
      <c r="G367" t="s">
        <v>847</v>
      </c>
      <c r="H367" t="s">
        <v>847</v>
      </c>
      <c r="I367" t="s">
        <v>32</v>
      </c>
      <c r="J367" t="s">
        <v>844</v>
      </c>
      <c r="K367" t="s">
        <v>74</v>
      </c>
      <c r="L367" t="s">
        <v>139</v>
      </c>
      <c r="M367" t="s">
        <v>87</v>
      </c>
      <c r="N367" t="s">
        <v>909</v>
      </c>
      <c r="O367">
        <v>1</v>
      </c>
      <c r="P367">
        <v>0</v>
      </c>
      <c r="Q367">
        <v>13</v>
      </c>
      <c r="R367" s="1">
        <v>46182.067002314812</v>
      </c>
      <c r="S367" s="1">
        <v>46205.863240740742</v>
      </c>
    </row>
    <row r="368" spans="1:19" x14ac:dyDescent="0.25">
      <c r="A368">
        <v>2010107213</v>
      </c>
      <c r="B368" t="s">
        <v>28</v>
      </c>
      <c r="C368" t="s">
        <v>29</v>
      </c>
      <c r="D368" t="s">
        <v>935</v>
      </c>
      <c r="E368" t="s">
        <v>936</v>
      </c>
      <c r="F368" t="e">
        <f>--ds-btn-radius-success-icon-size</f>
        <v>#NAME?</v>
      </c>
      <c r="G368" t="s">
        <v>843</v>
      </c>
      <c r="H368" t="s">
        <v>843</v>
      </c>
      <c r="I368" t="s">
        <v>32</v>
      </c>
      <c r="J368" t="s">
        <v>844</v>
      </c>
      <c r="K368" t="s">
        <v>74</v>
      </c>
      <c r="L368" t="s">
        <v>139</v>
      </c>
      <c r="M368" t="s">
        <v>106</v>
      </c>
      <c r="N368" t="s">
        <v>909</v>
      </c>
      <c r="O368">
        <v>1</v>
      </c>
      <c r="P368">
        <v>0</v>
      </c>
      <c r="Q368">
        <v>14</v>
      </c>
      <c r="R368" s="1">
        <v>46182.067002314812</v>
      </c>
      <c r="S368" s="1">
        <v>46205.863240740742</v>
      </c>
    </row>
    <row r="369" spans="1:19" x14ac:dyDescent="0.25">
      <c r="A369">
        <v>2010107214</v>
      </c>
      <c r="B369" t="s">
        <v>28</v>
      </c>
      <c r="C369" t="s">
        <v>29</v>
      </c>
      <c r="D369" t="s">
        <v>937</v>
      </c>
      <c r="E369" t="s">
        <v>938</v>
      </c>
      <c r="F369" t="e">
        <f>--ds-btn-radius-success-line-height</f>
        <v>#NAME?</v>
      </c>
      <c r="G369">
        <v>1.25</v>
      </c>
      <c r="H369">
        <v>1.25</v>
      </c>
      <c r="I369" t="s">
        <v>32</v>
      </c>
      <c r="J369" t="s">
        <v>844</v>
      </c>
      <c r="K369" t="s">
        <v>74</v>
      </c>
      <c r="L369" t="s">
        <v>139</v>
      </c>
      <c r="M369" t="s">
        <v>109</v>
      </c>
      <c r="N369" t="s">
        <v>909</v>
      </c>
      <c r="O369">
        <v>1</v>
      </c>
      <c r="P369">
        <v>0</v>
      </c>
      <c r="Q369">
        <v>15</v>
      </c>
      <c r="R369" s="1">
        <v>46182.067002314812</v>
      </c>
      <c r="S369" s="1">
        <v>46205.863240740742</v>
      </c>
    </row>
    <row r="370" spans="1:19" x14ac:dyDescent="0.25">
      <c r="A370">
        <v>2010107215</v>
      </c>
      <c r="B370" t="s">
        <v>28</v>
      </c>
      <c r="C370" t="s">
        <v>29</v>
      </c>
      <c r="D370" t="s">
        <v>939</v>
      </c>
      <c r="E370" t="s">
        <v>940</v>
      </c>
      <c r="F370" t="e">
        <f>--ds-btn-radius-success-radius</f>
        <v>#NAME?</v>
      </c>
      <c r="G370" t="s">
        <v>856</v>
      </c>
      <c r="H370" t="s">
        <v>856</v>
      </c>
      <c r="I370" t="s">
        <v>32</v>
      </c>
      <c r="J370" t="s">
        <v>844</v>
      </c>
      <c r="K370" t="s">
        <v>74</v>
      </c>
      <c r="L370" t="s">
        <v>139</v>
      </c>
      <c r="M370" t="s">
        <v>74</v>
      </c>
      <c r="N370" t="s">
        <v>909</v>
      </c>
      <c r="O370">
        <v>1</v>
      </c>
      <c r="P370">
        <v>0</v>
      </c>
      <c r="Q370">
        <v>16</v>
      </c>
      <c r="R370" s="1">
        <v>46182.067002314812</v>
      </c>
      <c r="S370" s="1">
        <v>46205.863240740742</v>
      </c>
    </row>
    <row r="371" spans="1:19" x14ac:dyDescent="0.25">
      <c r="A371">
        <v>2010107216</v>
      </c>
      <c r="B371" t="s">
        <v>28</v>
      </c>
      <c r="C371" t="s">
        <v>29</v>
      </c>
      <c r="D371" t="s">
        <v>941</v>
      </c>
      <c r="E371" t="s">
        <v>942</v>
      </c>
      <c r="F371" t="e">
        <f>--ds-btn-radius-success-shadow</f>
        <v>#NAME?</v>
      </c>
      <c r="G371" t="s">
        <v>94</v>
      </c>
      <c r="H371" t="s">
        <v>94</v>
      </c>
      <c r="I371" t="s">
        <v>32</v>
      </c>
      <c r="J371" t="s">
        <v>69</v>
      </c>
      <c r="K371" t="s">
        <v>74</v>
      </c>
      <c r="L371" t="s">
        <v>139</v>
      </c>
      <c r="M371" t="s">
        <v>70</v>
      </c>
      <c r="N371" t="s">
        <v>909</v>
      </c>
      <c r="O371">
        <v>1</v>
      </c>
      <c r="P371">
        <v>0</v>
      </c>
      <c r="Q371">
        <v>17</v>
      </c>
      <c r="R371" s="1">
        <v>46182.067002314812</v>
      </c>
      <c r="S371" s="1">
        <v>46205.863240740742</v>
      </c>
    </row>
    <row r="372" spans="1:19" x14ac:dyDescent="0.25">
      <c r="A372">
        <v>2010107217</v>
      </c>
      <c r="B372" t="s">
        <v>28</v>
      </c>
      <c r="C372" t="s">
        <v>29</v>
      </c>
      <c r="D372" t="s">
        <v>943</v>
      </c>
      <c r="E372" t="s">
        <v>944</v>
      </c>
      <c r="F372" t="e">
        <f>--ds-btn-radius-success-focus-ring</f>
        <v>#NAME?</v>
      </c>
      <c r="G372" t="s">
        <v>945</v>
      </c>
      <c r="H372" t="s">
        <v>945</v>
      </c>
      <c r="I372" t="s">
        <v>32</v>
      </c>
      <c r="J372" t="s">
        <v>69</v>
      </c>
      <c r="K372" t="s">
        <v>74</v>
      </c>
      <c r="L372" t="s">
        <v>139</v>
      </c>
      <c r="M372" t="s">
        <v>91</v>
      </c>
      <c r="N372" t="s">
        <v>909</v>
      </c>
      <c r="O372">
        <v>1</v>
      </c>
      <c r="P372">
        <v>0</v>
      </c>
      <c r="Q372">
        <v>18</v>
      </c>
      <c r="R372" s="1">
        <v>46182.067002314812</v>
      </c>
      <c r="S372" s="1">
        <v>46205.863240740742</v>
      </c>
    </row>
    <row r="373" spans="1:19" x14ac:dyDescent="0.25">
      <c r="A373">
        <v>2010107218</v>
      </c>
      <c r="B373" t="s">
        <v>28</v>
      </c>
      <c r="C373" t="s">
        <v>29</v>
      </c>
      <c r="D373" t="s">
        <v>946</v>
      </c>
      <c r="E373" t="s">
        <v>947</v>
      </c>
      <c r="F373" t="e">
        <f>--ds-btn-radius-success-transition</f>
        <v>#NAME?</v>
      </c>
      <c r="G373" t="s">
        <v>98</v>
      </c>
      <c r="H373" t="s">
        <v>98</v>
      </c>
      <c r="I373" t="s">
        <v>32</v>
      </c>
      <c r="J373" t="s">
        <v>69</v>
      </c>
      <c r="K373" t="s">
        <v>74</v>
      </c>
      <c r="L373" t="s">
        <v>139</v>
      </c>
      <c r="M373" t="s">
        <v>99</v>
      </c>
      <c r="N373" t="s">
        <v>909</v>
      </c>
      <c r="O373">
        <v>1</v>
      </c>
      <c r="P373">
        <v>0</v>
      </c>
      <c r="Q373">
        <v>19</v>
      </c>
      <c r="R373" s="1">
        <v>46182.067002314812</v>
      </c>
      <c r="S373" s="1">
        <v>46205.863240740742</v>
      </c>
    </row>
    <row r="374" spans="1:19" x14ac:dyDescent="0.25">
      <c r="A374">
        <v>2010107300</v>
      </c>
      <c r="B374" t="s">
        <v>28</v>
      </c>
      <c r="C374" t="s">
        <v>29</v>
      </c>
      <c r="D374" t="s">
        <v>948</v>
      </c>
      <c r="E374" t="s">
        <v>949</v>
      </c>
      <c r="F374" t="e">
        <f>--ds-btn-radius-danger-bg</f>
        <v>#NAME?</v>
      </c>
      <c r="G374" t="s">
        <v>160</v>
      </c>
      <c r="H374" t="s">
        <v>160</v>
      </c>
      <c r="I374" t="s">
        <v>32</v>
      </c>
      <c r="J374" t="s">
        <v>24</v>
      </c>
      <c r="K374" t="s">
        <v>74</v>
      </c>
      <c r="L374" t="s">
        <v>161</v>
      </c>
      <c r="M374" t="s">
        <v>26</v>
      </c>
      <c r="N374" t="s">
        <v>950</v>
      </c>
      <c r="O374">
        <v>1</v>
      </c>
      <c r="P374">
        <v>1</v>
      </c>
      <c r="Q374">
        <v>1</v>
      </c>
      <c r="R374" s="1">
        <v>46182.067129629628</v>
      </c>
      <c r="S374" s="1">
        <v>46205.863240740742</v>
      </c>
    </row>
    <row r="375" spans="1:19" x14ac:dyDescent="0.25">
      <c r="A375">
        <v>2010107301</v>
      </c>
      <c r="B375" t="s">
        <v>28</v>
      </c>
      <c r="C375" t="s">
        <v>29</v>
      </c>
      <c r="D375" t="s">
        <v>951</v>
      </c>
      <c r="E375" t="s">
        <v>952</v>
      </c>
      <c r="F375" t="e">
        <f>--ds-btn-radius-danger-text</f>
        <v>#NAME?</v>
      </c>
      <c r="G375" t="s">
        <v>37</v>
      </c>
      <c r="H375" t="s">
        <v>37</v>
      </c>
      <c r="I375" t="s">
        <v>32</v>
      </c>
      <c r="J375" t="s">
        <v>24</v>
      </c>
      <c r="K375" t="s">
        <v>74</v>
      </c>
      <c r="L375" t="s">
        <v>161</v>
      </c>
      <c r="M375" t="s">
        <v>38</v>
      </c>
      <c r="N375" t="s">
        <v>950</v>
      </c>
      <c r="O375">
        <v>1</v>
      </c>
      <c r="P375">
        <v>1</v>
      </c>
      <c r="Q375">
        <v>2</v>
      </c>
      <c r="R375" s="1">
        <v>46182.067129629628</v>
      </c>
      <c r="S375" s="1">
        <v>46205.863240740742</v>
      </c>
    </row>
    <row r="376" spans="1:19" x14ac:dyDescent="0.25">
      <c r="A376">
        <v>2010107302</v>
      </c>
      <c r="B376" t="s">
        <v>28</v>
      </c>
      <c r="C376" t="s">
        <v>29</v>
      </c>
      <c r="D376" t="s">
        <v>953</v>
      </c>
      <c r="E376" t="s">
        <v>954</v>
      </c>
      <c r="F376" t="e">
        <f>--ds-btn-radius-danger-border</f>
        <v>#NAME?</v>
      </c>
      <c r="G376" t="s">
        <v>955</v>
      </c>
      <c r="H376" t="s">
        <v>955</v>
      </c>
      <c r="I376" t="s">
        <v>32</v>
      </c>
      <c r="J376" t="s">
        <v>24</v>
      </c>
      <c r="K376" t="s">
        <v>74</v>
      </c>
      <c r="L376" t="s">
        <v>161</v>
      </c>
      <c r="M376" t="s">
        <v>42</v>
      </c>
      <c r="N376" t="s">
        <v>950</v>
      </c>
      <c r="O376">
        <v>1</v>
      </c>
      <c r="P376">
        <v>1</v>
      </c>
      <c r="Q376">
        <v>3</v>
      </c>
      <c r="R376" s="1">
        <v>46182.067129629628</v>
      </c>
      <c r="S376" s="1">
        <v>46205.863240740742</v>
      </c>
    </row>
    <row r="377" spans="1:19" x14ac:dyDescent="0.25">
      <c r="A377">
        <v>2010107303</v>
      </c>
      <c r="B377" t="s">
        <v>28</v>
      </c>
      <c r="C377" t="s">
        <v>29</v>
      </c>
      <c r="D377" t="s">
        <v>956</v>
      </c>
      <c r="E377" t="s">
        <v>957</v>
      </c>
      <c r="F377" t="e">
        <f>--ds-btn-radius-danger-hover-bg</f>
        <v>#NAME?</v>
      </c>
      <c r="G377" t="s">
        <v>169</v>
      </c>
      <c r="H377" t="s">
        <v>169</v>
      </c>
      <c r="I377" t="s">
        <v>32</v>
      </c>
      <c r="J377" t="s">
        <v>24</v>
      </c>
      <c r="K377" t="s">
        <v>74</v>
      </c>
      <c r="L377" t="s">
        <v>161</v>
      </c>
      <c r="M377" t="s">
        <v>46</v>
      </c>
      <c r="N377" t="s">
        <v>950</v>
      </c>
      <c r="O377">
        <v>1</v>
      </c>
      <c r="P377">
        <v>1</v>
      </c>
      <c r="Q377">
        <v>4</v>
      </c>
      <c r="R377" s="1">
        <v>46182.067129629628</v>
      </c>
      <c r="S377" s="1">
        <v>46205.863240740742</v>
      </c>
    </row>
    <row r="378" spans="1:19" x14ac:dyDescent="0.25">
      <c r="A378">
        <v>2010107304</v>
      </c>
      <c r="B378" t="s">
        <v>28</v>
      </c>
      <c r="C378" t="s">
        <v>29</v>
      </c>
      <c r="D378" t="s">
        <v>958</v>
      </c>
      <c r="E378" t="s">
        <v>959</v>
      </c>
      <c r="F378" t="e">
        <f>--ds-btn-radius-danger-hover-text</f>
        <v>#NAME?</v>
      </c>
      <c r="G378" t="s">
        <v>37</v>
      </c>
      <c r="H378" t="s">
        <v>37</v>
      </c>
      <c r="I378" t="s">
        <v>32</v>
      </c>
      <c r="J378" t="s">
        <v>24</v>
      </c>
      <c r="K378" t="s">
        <v>74</v>
      </c>
      <c r="L378" t="s">
        <v>161</v>
      </c>
      <c r="M378" t="s">
        <v>49</v>
      </c>
      <c r="N378" t="s">
        <v>950</v>
      </c>
      <c r="O378">
        <v>1</v>
      </c>
      <c r="P378">
        <v>1</v>
      </c>
      <c r="Q378">
        <v>5</v>
      </c>
      <c r="R378" s="1">
        <v>46182.067129629628</v>
      </c>
      <c r="S378" s="1">
        <v>46205.863240740742</v>
      </c>
    </row>
    <row r="379" spans="1:19" x14ac:dyDescent="0.25">
      <c r="A379">
        <v>2010107305</v>
      </c>
      <c r="B379" t="s">
        <v>28</v>
      </c>
      <c r="C379" t="s">
        <v>29</v>
      </c>
      <c r="D379" t="s">
        <v>960</v>
      </c>
      <c r="E379" t="s">
        <v>961</v>
      </c>
      <c r="F379" t="e">
        <f>--ds-btn-radius-danger-hover-border</f>
        <v>#NAME?</v>
      </c>
      <c r="G379" t="s">
        <v>642</v>
      </c>
      <c r="H379" t="s">
        <v>642</v>
      </c>
      <c r="I379" t="s">
        <v>32</v>
      </c>
      <c r="J379" t="s">
        <v>24</v>
      </c>
      <c r="K379" t="s">
        <v>74</v>
      </c>
      <c r="L379" t="s">
        <v>161</v>
      </c>
      <c r="M379" t="s">
        <v>53</v>
      </c>
      <c r="N379" t="s">
        <v>950</v>
      </c>
      <c r="O379">
        <v>1</v>
      </c>
      <c r="P379">
        <v>1</v>
      </c>
      <c r="Q379">
        <v>6</v>
      </c>
      <c r="R379" s="1">
        <v>46182.067129629628</v>
      </c>
      <c r="S379" s="1">
        <v>46205.863240740742</v>
      </c>
    </row>
    <row r="380" spans="1:19" x14ac:dyDescent="0.25">
      <c r="A380">
        <v>2010107306</v>
      </c>
      <c r="B380" t="s">
        <v>28</v>
      </c>
      <c r="C380" t="s">
        <v>29</v>
      </c>
      <c r="D380" t="s">
        <v>962</v>
      </c>
      <c r="E380" t="s">
        <v>963</v>
      </c>
      <c r="F380" t="e">
        <f>--ds-btn-radius-danger-disabled-bg</f>
        <v>#NAME?</v>
      </c>
      <c r="G380" t="s">
        <v>484</v>
      </c>
      <c r="H380" t="s">
        <v>484</v>
      </c>
      <c r="I380" t="s">
        <v>32</v>
      </c>
      <c r="J380" t="s">
        <v>24</v>
      </c>
      <c r="K380" t="s">
        <v>74</v>
      </c>
      <c r="L380" t="s">
        <v>161</v>
      </c>
      <c r="M380" t="s">
        <v>57</v>
      </c>
      <c r="N380" t="s">
        <v>950</v>
      </c>
      <c r="O380">
        <v>1</v>
      </c>
      <c r="P380">
        <v>1</v>
      </c>
      <c r="Q380">
        <v>7</v>
      </c>
      <c r="R380" s="1">
        <v>46182.067129629628</v>
      </c>
      <c r="S380" s="1">
        <v>46205.863240740742</v>
      </c>
    </row>
    <row r="381" spans="1:19" x14ac:dyDescent="0.25">
      <c r="A381">
        <v>2010107307</v>
      </c>
      <c r="B381" t="s">
        <v>28</v>
      </c>
      <c r="C381" t="s">
        <v>29</v>
      </c>
      <c r="D381" t="s">
        <v>964</v>
      </c>
      <c r="E381" t="s">
        <v>965</v>
      </c>
      <c r="F381" t="e">
        <f>--ds-btn-radius-danger-disabled-text</f>
        <v>#NAME?</v>
      </c>
      <c r="G381" t="s">
        <v>60</v>
      </c>
      <c r="H381" t="s">
        <v>60</v>
      </c>
      <c r="I381" t="s">
        <v>32</v>
      </c>
      <c r="J381" t="s">
        <v>24</v>
      </c>
      <c r="K381" t="s">
        <v>74</v>
      </c>
      <c r="L381" t="s">
        <v>161</v>
      </c>
      <c r="M381" t="s">
        <v>61</v>
      </c>
      <c r="N381" t="s">
        <v>950</v>
      </c>
      <c r="O381">
        <v>1</v>
      </c>
      <c r="P381">
        <v>1</v>
      </c>
      <c r="Q381">
        <v>8</v>
      </c>
      <c r="R381" s="1">
        <v>46182.067129629628</v>
      </c>
      <c r="S381" s="1">
        <v>46205.863240740742</v>
      </c>
    </row>
    <row r="382" spans="1:19" x14ac:dyDescent="0.25">
      <c r="A382">
        <v>2010107308</v>
      </c>
      <c r="B382" t="s">
        <v>28</v>
      </c>
      <c r="C382" t="s">
        <v>29</v>
      </c>
      <c r="D382" t="s">
        <v>966</v>
      </c>
      <c r="E382" t="s">
        <v>967</v>
      </c>
      <c r="F382" t="e">
        <f>--ds-btn-radius-danger-disabled-border</f>
        <v>#NAME?</v>
      </c>
      <c r="G382" t="s">
        <v>968</v>
      </c>
      <c r="H382" t="s">
        <v>968</v>
      </c>
      <c r="I382" t="s">
        <v>32</v>
      </c>
      <c r="J382" t="s">
        <v>24</v>
      </c>
      <c r="K382" t="s">
        <v>74</v>
      </c>
      <c r="L382" t="s">
        <v>161</v>
      </c>
      <c r="M382" t="s">
        <v>65</v>
      </c>
      <c r="N382" t="s">
        <v>950</v>
      </c>
      <c r="O382">
        <v>1</v>
      </c>
      <c r="P382">
        <v>1</v>
      </c>
      <c r="Q382">
        <v>9</v>
      </c>
      <c r="R382" s="1">
        <v>46182.067129629628</v>
      </c>
      <c r="S382" s="1">
        <v>46205.863240740742</v>
      </c>
    </row>
    <row r="383" spans="1:19" x14ac:dyDescent="0.25">
      <c r="A383">
        <v>2010107309</v>
      </c>
      <c r="B383" t="s">
        <v>28</v>
      </c>
      <c r="C383" t="s">
        <v>29</v>
      </c>
      <c r="D383" t="s">
        <v>969</v>
      </c>
      <c r="E383" t="s">
        <v>970</v>
      </c>
      <c r="F383" t="e">
        <f>--ds-btn-radius-danger-icon-color</f>
        <v>#NAME?</v>
      </c>
      <c r="G383" t="s">
        <v>37</v>
      </c>
      <c r="H383" t="s">
        <v>37</v>
      </c>
      <c r="I383" t="s">
        <v>32</v>
      </c>
      <c r="J383" t="s">
        <v>24</v>
      </c>
      <c r="K383" t="s">
        <v>74</v>
      </c>
      <c r="L383" t="s">
        <v>161</v>
      </c>
      <c r="M383" t="s">
        <v>102</v>
      </c>
      <c r="N383" t="s">
        <v>950</v>
      </c>
      <c r="O383">
        <v>1</v>
      </c>
      <c r="P383">
        <v>1</v>
      </c>
      <c r="Q383">
        <v>10</v>
      </c>
      <c r="R383" s="1">
        <v>46182.067129629628</v>
      </c>
      <c r="S383" s="1">
        <v>46205.863240740742</v>
      </c>
    </row>
    <row r="384" spans="1:19" x14ac:dyDescent="0.25">
      <c r="A384">
        <v>2010107310</v>
      </c>
      <c r="B384" t="s">
        <v>28</v>
      </c>
      <c r="C384" t="s">
        <v>29</v>
      </c>
      <c r="D384" t="s">
        <v>971</v>
      </c>
      <c r="E384" t="s">
        <v>972</v>
      </c>
      <c r="F384" t="e">
        <f>--ds-btn-radius-danger-padding-x</f>
        <v>#NAME?</v>
      </c>
      <c r="G384" t="s">
        <v>843</v>
      </c>
      <c r="H384" t="s">
        <v>843</v>
      </c>
      <c r="I384" t="s">
        <v>32</v>
      </c>
      <c r="J384" t="s">
        <v>844</v>
      </c>
      <c r="K384" t="s">
        <v>74</v>
      </c>
      <c r="L384" t="s">
        <v>161</v>
      </c>
      <c r="M384" t="s">
        <v>79</v>
      </c>
      <c r="N384" t="s">
        <v>950</v>
      </c>
      <c r="O384">
        <v>1</v>
      </c>
      <c r="P384">
        <v>0</v>
      </c>
      <c r="Q384">
        <v>11</v>
      </c>
      <c r="R384" s="1">
        <v>46182.067129629628</v>
      </c>
      <c r="S384" s="1">
        <v>46205.863240740742</v>
      </c>
    </row>
    <row r="385" spans="1:19" x14ac:dyDescent="0.25">
      <c r="A385">
        <v>2010107311</v>
      </c>
      <c r="B385" t="s">
        <v>28</v>
      </c>
      <c r="C385" t="s">
        <v>29</v>
      </c>
      <c r="D385" t="s">
        <v>973</v>
      </c>
      <c r="E385" t="s">
        <v>974</v>
      </c>
      <c r="F385" t="e">
        <f>--ds-btn-radius-danger-padding-y</f>
        <v>#NAME?</v>
      </c>
      <c r="G385" t="s">
        <v>847</v>
      </c>
      <c r="H385" t="s">
        <v>847</v>
      </c>
      <c r="I385" t="s">
        <v>32</v>
      </c>
      <c r="J385" t="s">
        <v>844</v>
      </c>
      <c r="K385" t="s">
        <v>74</v>
      </c>
      <c r="L385" t="s">
        <v>161</v>
      </c>
      <c r="M385" t="s">
        <v>83</v>
      </c>
      <c r="N385" t="s">
        <v>950</v>
      </c>
      <c r="O385">
        <v>1</v>
      </c>
      <c r="P385">
        <v>0</v>
      </c>
      <c r="Q385">
        <v>12</v>
      </c>
      <c r="R385" s="1">
        <v>46182.067129629628</v>
      </c>
      <c r="S385" s="1">
        <v>46205.863240740742</v>
      </c>
    </row>
    <row r="386" spans="1:19" x14ac:dyDescent="0.25">
      <c r="A386">
        <v>2010107312</v>
      </c>
      <c r="B386" t="s">
        <v>28</v>
      </c>
      <c r="C386" t="s">
        <v>29</v>
      </c>
      <c r="D386" t="s">
        <v>975</v>
      </c>
      <c r="E386" t="s">
        <v>976</v>
      </c>
      <c r="F386" t="e">
        <f>--ds-btn-radius-danger-gap</f>
        <v>#NAME?</v>
      </c>
      <c r="G386" t="s">
        <v>847</v>
      </c>
      <c r="H386" t="s">
        <v>847</v>
      </c>
      <c r="I386" t="s">
        <v>32</v>
      </c>
      <c r="J386" t="s">
        <v>844</v>
      </c>
      <c r="K386" t="s">
        <v>74</v>
      </c>
      <c r="L386" t="s">
        <v>161</v>
      </c>
      <c r="M386" t="s">
        <v>87</v>
      </c>
      <c r="N386" t="s">
        <v>950</v>
      </c>
      <c r="O386">
        <v>1</v>
      </c>
      <c r="P386">
        <v>0</v>
      </c>
      <c r="Q386">
        <v>13</v>
      </c>
      <c r="R386" s="1">
        <v>46182.067129629628</v>
      </c>
      <c r="S386" s="1">
        <v>46205.863240740742</v>
      </c>
    </row>
    <row r="387" spans="1:19" x14ac:dyDescent="0.25">
      <c r="A387">
        <v>2010107313</v>
      </c>
      <c r="B387" t="s">
        <v>28</v>
      </c>
      <c r="C387" t="s">
        <v>29</v>
      </c>
      <c r="D387" t="s">
        <v>977</v>
      </c>
      <c r="E387" t="s">
        <v>978</v>
      </c>
      <c r="F387" t="e">
        <f>--ds-btn-radius-danger-icon-size</f>
        <v>#NAME?</v>
      </c>
      <c r="G387" t="s">
        <v>843</v>
      </c>
      <c r="H387" t="s">
        <v>843</v>
      </c>
      <c r="I387" t="s">
        <v>32</v>
      </c>
      <c r="J387" t="s">
        <v>844</v>
      </c>
      <c r="K387" t="s">
        <v>74</v>
      </c>
      <c r="L387" t="s">
        <v>161</v>
      </c>
      <c r="M387" t="s">
        <v>106</v>
      </c>
      <c r="N387" t="s">
        <v>950</v>
      </c>
      <c r="O387">
        <v>1</v>
      </c>
      <c r="P387">
        <v>0</v>
      </c>
      <c r="Q387">
        <v>14</v>
      </c>
      <c r="R387" s="1">
        <v>46182.067129629628</v>
      </c>
      <c r="S387" s="1">
        <v>46205.863240740742</v>
      </c>
    </row>
    <row r="388" spans="1:19" x14ac:dyDescent="0.25">
      <c r="A388">
        <v>2010107314</v>
      </c>
      <c r="B388" t="s">
        <v>28</v>
      </c>
      <c r="C388" t="s">
        <v>29</v>
      </c>
      <c r="D388" t="s">
        <v>979</v>
      </c>
      <c r="E388" t="s">
        <v>980</v>
      </c>
      <c r="F388" t="e">
        <f>--ds-btn-radius-danger-line-height</f>
        <v>#NAME?</v>
      </c>
      <c r="G388">
        <v>1.25</v>
      </c>
      <c r="H388">
        <v>1.25</v>
      </c>
      <c r="I388" t="s">
        <v>32</v>
      </c>
      <c r="J388" t="s">
        <v>844</v>
      </c>
      <c r="K388" t="s">
        <v>74</v>
      </c>
      <c r="L388" t="s">
        <v>161</v>
      </c>
      <c r="M388" t="s">
        <v>109</v>
      </c>
      <c r="N388" t="s">
        <v>950</v>
      </c>
      <c r="O388">
        <v>1</v>
      </c>
      <c r="P388">
        <v>0</v>
      </c>
      <c r="Q388">
        <v>15</v>
      </c>
      <c r="R388" s="1">
        <v>46182.067129629628</v>
      </c>
      <c r="S388" s="1">
        <v>46205.863240740742</v>
      </c>
    </row>
    <row r="389" spans="1:19" x14ac:dyDescent="0.25">
      <c r="A389">
        <v>2010107315</v>
      </c>
      <c r="B389" t="s">
        <v>28</v>
      </c>
      <c r="C389" t="s">
        <v>29</v>
      </c>
      <c r="D389" t="s">
        <v>981</v>
      </c>
      <c r="E389" t="s">
        <v>982</v>
      </c>
      <c r="F389" t="e">
        <f>--ds-btn-radius-danger-radius</f>
        <v>#NAME?</v>
      </c>
      <c r="G389" t="s">
        <v>856</v>
      </c>
      <c r="H389" t="s">
        <v>856</v>
      </c>
      <c r="I389" t="s">
        <v>32</v>
      </c>
      <c r="J389" t="s">
        <v>844</v>
      </c>
      <c r="K389" t="s">
        <v>74</v>
      </c>
      <c r="L389" t="s">
        <v>161</v>
      </c>
      <c r="M389" t="s">
        <v>74</v>
      </c>
      <c r="N389" t="s">
        <v>950</v>
      </c>
      <c r="O389">
        <v>1</v>
      </c>
      <c r="P389">
        <v>0</v>
      </c>
      <c r="Q389">
        <v>16</v>
      </c>
      <c r="R389" s="1">
        <v>46182.067129629628</v>
      </c>
      <c r="S389" s="1">
        <v>46205.863240740742</v>
      </c>
    </row>
    <row r="390" spans="1:19" x14ac:dyDescent="0.25">
      <c r="A390">
        <v>2010107316</v>
      </c>
      <c r="B390" t="s">
        <v>28</v>
      </c>
      <c r="C390" t="s">
        <v>29</v>
      </c>
      <c r="D390" t="s">
        <v>983</v>
      </c>
      <c r="E390" t="s">
        <v>984</v>
      </c>
      <c r="F390" t="e">
        <f>--ds-btn-radius-danger-shadow</f>
        <v>#NAME?</v>
      </c>
      <c r="G390" t="s">
        <v>94</v>
      </c>
      <c r="H390" t="s">
        <v>94</v>
      </c>
      <c r="I390" t="s">
        <v>32</v>
      </c>
      <c r="J390" t="s">
        <v>69</v>
      </c>
      <c r="K390" t="s">
        <v>74</v>
      </c>
      <c r="L390" t="s">
        <v>161</v>
      </c>
      <c r="M390" t="s">
        <v>70</v>
      </c>
      <c r="N390" t="s">
        <v>950</v>
      </c>
      <c r="O390">
        <v>1</v>
      </c>
      <c r="P390">
        <v>0</v>
      </c>
      <c r="Q390">
        <v>17</v>
      </c>
      <c r="R390" s="1">
        <v>46182.067129629628</v>
      </c>
      <c r="S390" s="1">
        <v>46205.863240740742</v>
      </c>
    </row>
    <row r="391" spans="1:19" x14ac:dyDescent="0.25">
      <c r="A391">
        <v>2010107317</v>
      </c>
      <c r="B391" t="s">
        <v>28</v>
      </c>
      <c r="C391" t="s">
        <v>29</v>
      </c>
      <c r="D391" t="s">
        <v>985</v>
      </c>
      <c r="E391" t="s">
        <v>986</v>
      </c>
      <c r="F391" t="e">
        <f>--ds-btn-radius-danger-focus-ring</f>
        <v>#NAME?</v>
      </c>
      <c r="G391" t="s">
        <v>987</v>
      </c>
      <c r="H391" t="s">
        <v>987</v>
      </c>
      <c r="I391" t="s">
        <v>32</v>
      </c>
      <c r="J391" t="s">
        <v>69</v>
      </c>
      <c r="K391" t="s">
        <v>74</v>
      </c>
      <c r="L391" t="s">
        <v>161</v>
      </c>
      <c r="M391" t="s">
        <v>91</v>
      </c>
      <c r="N391" t="s">
        <v>950</v>
      </c>
      <c r="O391">
        <v>1</v>
      </c>
      <c r="P391">
        <v>0</v>
      </c>
      <c r="Q391">
        <v>18</v>
      </c>
      <c r="R391" s="1">
        <v>46182.067129629628</v>
      </c>
      <c r="S391" s="1">
        <v>46205.863240740742</v>
      </c>
    </row>
    <row r="392" spans="1:19" x14ac:dyDescent="0.25">
      <c r="A392">
        <v>2010107318</v>
      </c>
      <c r="B392" t="s">
        <v>28</v>
      </c>
      <c r="C392" t="s">
        <v>29</v>
      </c>
      <c r="D392" t="s">
        <v>988</v>
      </c>
      <c r="E392" t="s">
        <v>989</v>
      </c>
      <c r="F392" t="e">
        <f>--ds-btn-radius-danger-transition</f>
        <v>#NAME?</v>
      </c>
      <c r="G392" t="s">
        <v>98</v>
      </c>
      <c r="H392" t="s">
        <v>98</v>
      </c>
      <c r="I392" t="s">
        <v>32</v>
      </c>
      <c r="J392" t="s">
        <v>69</v>
      </c>
      <c r="K392" t="s">
        <v>74</v>
      </c>
      <c r="L392" t="s">
        <v>161</v>
      </c>
      <c r="M392" t="s">
        <v>99</v>
      </c>
      <c r="N392" t="s">
        <v>950</v>
      </c>
      <c r="O392">
        <v>1</v>
      </c>
      <c r="P392">
        <v>0</v>
      </c>
      <c r="Q392">
        <v>19</v>
      </c>
      <c r="R392" s="1">
        <v>46182.067129629628</v>
      </c>
      <c r="S392" s="1">
        <v>46205.863240740742</v>
      </c>
    </row>
    <row r="393" spans="1:19" x14ac:dyDescent="0.25">
      <c r="A393">
        <v>2010107400</v>
      </c>
      <c r="B393" t="s">
        <v>28</v>
      </c>
      <c r="C393" t="s">
        <v>29</v>
      </c>
      <c r="D393" t="s">
        <v>990</v>
      </c>
      <c r="E393" t="s">
        <v>991</v>
      </c>
      <c r="F393" t="e">
        <f>--ds-btn-radius-warning-bg</f>
        <v>#NAME?</v>
      </c>
      <c r="G393" t="s">
        <v>182</v>
      </c>
      <c r="H393" t="s">
        <v>182</v>
      </c>
      <c r="I393" t="s">
        <v>32</v>
      </c>
      <c r="J393" t="s">
        <v>24</v>
      </c>
      <c r="K393" t="s">
        <v>74</v>
      </c>
      <c r="L393" t="s">
        <v>183</v>
      </c>
      <c r="M393" t="s">
        <v>26</v>
      </c>
      <c r="N393" t="s">
        <v>992</v>
      </c>
      <c r="O393">
        <v>1</v>
      </c>
      <c r="P393">
        <v>1</v>
      </c>
      <c r="Q393">
        <v>1</v>
      </c>
      <c r="R393" s="1">
        <v>46182.068136574075</v>
      </c>
      <c r="S393" s="1">
        <v>46205.863240740742</v>
      </c>
    </row>
    <row r="394" spans="1:19" x14ac:dyDescent="0.25">
      <c r="A394">
        <v>2010107401</v>
      </c>
      <c r="B394" t="s">
        <v>28</v>
      </c>
      <c r="C394" t="s">
        <v>29</v>
      </c>
      <c r="D394" t="s">
        <v>993</v>
      </c>
      <c r="E394" t="s">
        <v>994</v>
      </c>
      <c r="F394" t="e">
        <f>--ds-btn-radius-warning-text</f>
        <v>#NAME?</v>
      </c>
      <c r="G394" t="s">
        <v>816</v>
      </c>
      <c r="H394" t="s">
        <v>816</v>
      </c>
      <c r="I394" t="s">
        <v>32</v>
      </c>
      <c r="J394" t="s">
        <v>24</v>
      </c>
      <c r="K394" t="s">
        <v>74</v>
      </c>
      <c r="L394" t="s">
        <v>183</v>
      </c>
      <c r="M394" t="s">
        <v>38</v>
      </c>
      <c r="N394" t="s">
        <v>992</v>
      </c>
      <c r="O394">
        <v>1</v>
      </c>
      <c r="P394">
        <v>1</v>
      </c>
      <c r="Q394">
        <v>2</v>
      </c>
      <c r="R394" s="1">
        <v>46182.068136574075</v>
      </c>
      <c r="S394" s="1">
        <v>46205.863240740742</v>
      </c>
    </row>
    <row r="395" spans="1:19" x14ac:dyDescent="0.25">
      <c r="A395">
        <v>2010107402</v>
      </c>
      <c r="B395" t="s">
        <v>28</v>
      </c>
      <c r="C395" t="s">
        <v>29</v>
      </c>
      <c r="D395" t="s">
        <v>995</v>
      </c>
      <c r="E395" t="s">
        <v>996</v>
      </c>
      <c r="F395" t="e">
        <f>--ds-btn-radius-warning-border</f>
        <v>#NAME?</v>
      </c>
      <c r="G395" t="s">
        <v>191</v>
      </c>
      <c r="H395" t="s">
        <v>191</v>
      </c>
      <c r="I395" t="s">
        <v>32</v>
      </c>
      <c r="J395" t="s">
        <v>24</v>
      </c>
      <c r="K395" t="s">
        <v>74</v>
      </c>
      <c r="L395" t="s">
        <v>183</v>
      </c>
      <c r="M395" t="s">
        <v>42</v>
      </c>
      <c r="N395" t="s">
        <v>992</v>
      </c>
      <c r="O395">
        <v>1</v>
      </c>
      <c r="P395">
        <v>1</v>
      </c>
      <c r="Q395">
        <v>3</v>
      </c>
      <c r="R395" s="1">
        <v>46182.068136574075</v>
      </c>
      <c r="S395" s="1">
        <v>46205.863240740742</v>
      </c>
    </row>
    <row r="396" spans="1:19" x14ac:dyDescent="0.25">
      <c r="A396">
        <v>2010107403</v>
      </c>
      <c r="B396" t="s">
        <v>28</v>
      </c>
      <c r="C396" t="s">
        <v>29</v>
      </c>
      <c r="D396" t="s">
        <v>997</v>
      </c>
      <c r="E396" t="s">
        <v>998</v>
      </c>
      <c r="F396" t="e">
        <f>--ds-btn-radius-warning-hover-bg</f>
        <v>#NAME?</v>
      </c>
      <c r="G396" t="s">
        <v>999</v>
      </c>
      <c r="H396" t="s">
        <v>999</v>
      </c>
      <c r="I396" t="s">
        <v>32</v>
      </c>
      <c r="J396" t="s">
        <v>24</v>
      </c>
      <c r="K396" t="s">
        <v>74</v>
      </c>
      <c r="L396" t="s">
        <v>183</v>
      </c>
      <c r="M396" t="s">
        <v>46</v>
      </c>
      <c r="N396" t="s">
        <v>992</v>
      </c>
      <c r="O396">
        <v>1</v>
      </c>
      <c r="P396">
        <v>1</v>
      </c>
      <c r="Q396">
        <v>4</v>
      </c>
      <c r="R396" s="1">
        <v>46182.068136574075</v>
      </c>
      <c r="S396" s="1">
        <v>46205.863240740742</v>
      </c>
    </row>
    <row r="397" spans="1:19" x14ac:dyDescent="0.25">
      <c r="A397">
        <v>2010107404</v>
      </c>
      <c r="B397" t="s">
        <v>28</v>
      </c>
      <c r="C397" t="s">
        <v>29</v>
      </c>
      <c r="D397" t="s">
        <v>1000</v>
      </c>
      <c r="E397" t="s">
        <v>1001</v>
      </c>
      <c r="F397" t="e">
        <f>--ds-btn-radius-warning-hover-text</f>
        <v>#NAME?</v>
      </c>
      <c r="G397" t="s">
        <v>816</v>
      </c>
      <c r="H397" t="s">
        <v>816</v>
      </c>
      <c r="I397" t="s">
        <v>32</v>
      </c>
      <c r="J397" t="s">
        <v>24</v>
      </c>
      <c r="K397" t="s">
        <v>74</v>
      </c>
      <c r="L397" t="s">
        <v>183</v>
      </c>
      <c r="M397" t="s">
        <v>49</v>
      </c>
      <c r="N397" t="s">
        <v>992</v>
      </c>
      <c r="O397">
        <v>1</v>
      </c>
      <c r="P397">
        <v>1</v>
      </c>
      <c r="Q397">
        <v>5</v>
      </c>
      <c r="R397" s="1">
        <v>46182.068136574075</v>
      </c>
      <c r="S397" s="1">
        <v>46205.863240740742</v>
      </c>
    </row>
    <row r="398" spans="1:19" x14ac:dyDescent="0.25">
      <c r="A398">
        <v>2010107405</v>
      </c>
      <c r="B398" t="s">
        <v>28</v>
      </c>
      <c r="C398" t="s">
        <v>29</v>
      </c>
      <c r="D398" t="s">
        <v>1002</v>
      </c>
      <c r="E398" t="s">
        <v>1003</v>
      </c>
      <c r="F398" t="e">
        <f>--ds-btn-radius-warning-hover-border</f>
        <v>#NAME?</v>
      </c>
      <c r="G398" t="s">
        <v>1004</v>
      </c>
      <c r="H398" t="s">
        <v>1004</v>
      </c>
      <c r="I398" t="s">
        <v>32</v>
      </c>
      <c r="J398" t="s">
        <v>24</v>
      </c>
      <c r="K398" t="s">
        <v>74</v>
      </c>
      <c r="L398" t="s">
        <v>183</v>
      </c>
      <c r="M398" t="s">
        <v>53</v>
      </c>
      <c r="N398" t="s">
        <v>992</v>
      </c>
      <c r="O398">
        <v>1</v>
      </c>
      <c r="P398">
        <v>1</v>
      </c>
      <c r="Q398">
        <v>6</v>
      </c>
      <c r="R398" s="1">
        <v>46182.068136574075</v>
      </c>
      <c r="S398" s="1">
        <v>46205.863240740742</v>
      </c>
    </row>
    <row r="399" spans="1:19" x14ac:dyDescent="0.25">
      <c r="A399">
        <v>2010107406</v>
      </c>
      <c r="B399" t="s">
        <v>28</v>
      </c>
      <c r="C399" t="s">
        <v>29</v>
      </c>
      <c r="D399" t="s">
        <v>1005</v>
      </c>
      <c r="E399" t="s">
        <v>1006</v>
      </c>
      <c r="F399" t="e">
        <f>--ds-btn-radius-warning-disabled-bg</f>
        <v>#NAME?</v>
      </c>
      <c r="G399" t="s">
        <v>507</v>
      </c>
      <c r="H399" t="s">
        <v>507</v>
      </c>
      <c r="I399" t="s">
        <v>32</v>
      </c>
      <c r="J399" t="s">
        <v>24</v>
      </c>
      <c r="K399" t="s">
        <v>74</v>
      </c>
      <c r="L399" t="s">
        <v>183</v>
      </c>
      <c r="M399" t="s">
        <v>57</v>
      </c>
      <c r="N399" t="s">
        <v>992</v>
      </c>
      <c r="O399">
        <v>1</v>
      </c>
      <c r="P399">
        <v>1</v>
      </c>
      <c r="Q399">
        <v>7</v>
      </c>
      <c r="R399" s="1">
        <v>46182.068136574075</v>
      </c>
      <c r="S399" s="1">
        <v>46205.863240740742</v>
      </c>
    </row>
    <row r="400" spans="1:19" x14ac:dyDescent="0.25">
      <c r="A400">
        <v>2010107407</v>
      </c>
      <c r="B400" t="s">
        <v>28</v>
      </c>
      <c r="C400" t="s">
        <v>29</v>
      </c>
      <c r="D400" t="s">
        <v>1007</v>
      </c>
      <c r="E400" t="s">
        <v>1008</v>
      </c>
      <c r="F400" t="e">
        <f>--ds-btn-radius-warning-disabled-text</f>
        <v>#NAME?</v>
      </c>
      <c r="G400" t="s">
        <v>60</v>
      </c>
      <c r="H400" t="s">
        <v>60</v>
      </c>
      <c r="I400" t="s">
        <v>32</v>
      </c>
      <c r="J400" t="s">
        <v>24</v>
      </c>
      <c r="K400" t="s">
        <v>74</v>
      </c>
      <c r="L400" t="s">
        <v>183</v>
      </c>
      <c r="M400" t="s">
        <v>61</v>
      </c>
      <c r="N400" t="s">
        <v>992</v>
      </c>
      <c r="O400">
        <v>1</v>
      </c>
      <c r="P400">
        <v>1</v>
      </c>
      <c r="Q400">
        <v>8</v>
      </c>
      <c r="R400" s="1">
        <v>46182.068136574075</v>
      </c>
      <c r="S400" s="1">
        <v>46205.863240740742</v>
      </c>
    </row>
    <row r="401" spans="1:19" x14ac:dyDescent="0.25">
      <c r="A401">
        <v>2010107408</v>
      </c>
      <c r="B401" t="s">
        <v>28</v>
      </c>
      <c r="C401" t="s">
        <v>29</v>
      </c>
      <c r="D401" t="s">
        <v>1009</v>
      </c>
      <c r="E401" t="s">
        <v>1010</v>
      </c>
      <c r="F401" t="e">
        <f>--ds-btn-radius-warning-disabled-border</f>
        <v>#NAME?</v>
      </c>
      <c r="G401" t="s">
        <v>516</v>
      </c>
      <c r="H401" t="s">
        <v>516</v>
      </c>
      <c r="I401" t="s">
        <v>32</v>
      </c>
      <c r="J401" t="s">
        <v>24</v>
      </c>
      <c r="K401" t="s">
        <v>74</v>
      </c>
      <c r="L401" t="s">
        <v>183</v>
      </c>
      <c r="M401" t="s">
        <v>65</v>
      </c>
      <c r="N401" t="s">
        <v>992</v>
      </c>
      <c r="O401">
        <v>1</v>
      </c>
      <c r="P401">
        <v>1</v>
      </c>
      <c r="Q401">
        <v>9</v>
      </c>
      <c r="R401" s="1">
        <v>46182.068136574075</v>
      </c>
      <c r="S401" s="1">
        <v>46205.863240740742</v>
      </c>
    </row>
    <row r="402" spans="1:19" x14ac:dyDescent="0.25">
      <c r="A402">
        <v>2010107409</v>
      </c>
      <c r="B402" t="s">
        <v>28</v>
      </c>
      <c r="C402" t="s">
        <v>29</v>
      </c>
      <c r="D402" t="s">
        <v>1011</v>
      </c>
      <c r="E402" t="s">
        <v>1012</v>
      </c>
      <c r="F402" t="e">
        <f>--ds-btn-radius-warning-icon-color</f>
        <v>#NAME?</v>
      </c>
      <c r="G402" t="s">
        <v>816</v>
      </c>
      <c r="H402" t="s">
        <v>816</v>
      </c>
      <c r="I402" t="s">
        <v>32</v>
      </c>
      <c r="J402" t="s">
        <v>24</v>
      </c>
      <c r="K402" t="s">
        <v>74</v>
      </c>
      <c r="L402" t="s">
        <v>183</v>
      </c>
      <c r="M402" t="s">
        <v>102</v>
      </c>
      <c r="N402" t="s">
        <v>992</v>
      </c>
      <c r="O402">
        <v>1</v>
      </c>
      <c r="P402">
        <v>1</v>
      </c>
      <c r="Q402">
        <v>10</v>
      </c>
      <c r="R402" s="1">
        <v>46182.068136574075</v>
      </c>
      <c r="S402" s="1">
        <v>46205.863240740742</v>
      </c>
    </row>
    <row r="403" spans="1:19" x14ac:dyDescent="0.25">
      <c r="A403">
        <v>2010107410</v>
      </c>
      <c r="B403" t="s">
        <v>28</v>
      </c>
      <c r="C403" t="s">
        <v>29</v>
      </c>
      <c r="D403" t="s">
        <v>1013</v>
      </c>
      <c r="E403" t="s">
        <v>1014</v>
      </c>
      <c r="F403" t="e">
        <f>--ds-btn-radius-warning-padding-x</f>
        <v>#NAME?</v>
      </c>
      <c r="G403" t="s">
        <v>843</v>
      </c>
      <c r="H403" t="s">
        <v>843</v>
      </c>
      <c r="I403" t="s">
        <v>32</v>
      </c>
      <c r="J403" t="s">
        <v>844</v>
      </c>
      <c r="K403" t="s">
        <v>74</v>
      </c>
      <c r="L403" t="s">
        <v>183</v>
      </c>
      <c r="M403" t="s">
        <v>79</v>
      </c>
      <c r="N403" t="s">
        <v>992</v>
      </c>
      <c r="O403">
        <v>1</v>
      </c>
      <c r="P403">
        <v>0</v>
      </c>
      <c r="Q403">
        <v>11</v>
      </c>
      <c r="R403" s="1">
        <v>46182.068136574075</v>
      </c>
      <c r="S403" s="1">
        <v>46205.863240740742</v>
      </c>
    </row>
    <row r="404" spans="1:19" x14ac:dyDescent="0.25">
      <c r="A404">
        <v>2010107411</v>
      </c>
      <c r="B404" t="s">
        <v>28</v>
      </c>
      <c r="C404" t="s">
        <v>29</v>
      </c>
      <c r="D404" t="s">
        <v>1015</v>
      </c>
      <c r="E404" t="s">
        <v>1016</v>
      </c>
      <c r="F404" t="e">
        <f>--ds-btn-radius-warning-padding-y</f>
        <v>#NAME?</v>
      </c>
      <c r="G404" t="s">
        <v>847</v>
      </c>
      <c r="H404" t="s">
        <v>847</v>
      </c>
      <c r="I404" t="s">
        <v>32</v>
      </c>
      <c r="J404" t="s">
        <v>844</v>
      </c>
      <c r="K404" t="s">
        <v>74</v>
      </c>
      <c r="L404" t="s">
        <v>183</v>
      </c>
      <c r="M404" t="s">
        <v>83</v>
      </c>
      <c r="N404" t="s">
        <v>992</v>
      </c>
      <c r="O404">
        <v>1</v>
      </c>
      <c r="P404">
        <v>0</v>
      </c>
      <c r="Q404">
        <v>12</v>
      </c>
      <c r="R404" s="1">
        <v>46182.068136574075</v>
      </c>
      <c r="S404" s="1">
        <v>46205.863240740742</v>
      </c>
    </row>
    <row r="405" spans="1:19" x14ac:dyDescent="0.25">
      <c r="A405">
        <v>2010107412</v>
      </c>
      <c r="B405" t="s">
        <v>28</v>
      </c>
      <c r="C405" t="s">
        <v>29</v>
      </c>
      <c r="D405" t="s">
        <v>1017</v>
      </c>
      <c r="E405" t="s">
        <v>1018</v>
      </c>
      <c r="F405" t="e">
        <f>--ds-btn-radius-warning-gap</f>
        <v>#NAME?</v>
      </c>
      <c r="G405" t="s">
        <v>847</v>
      </c>
      <c r="H405" t="s">
        <v>847</v>
      </c>
      <c r="I405" t="s">
        <v>32</v>
      </c>
      <c r="J405" t="s">
        <v>844</v>
      </c>
      <c r="K405" t="s">
        <v>74</v>
      </c>
      <c r="L405" t="s">
        <v>183</v>
      </c>
      <c r="M405" t="s">
        <v>87</v>
      </c>
      <c r="N405" t="s">
        <v>992</v>
      </c>
      <c r="O405">
        <v>1</v>
      </c>
      <c r="P405">
        <v>0</v>
      </c>
      <c r="Q405">
        <v>13</v>
      </c>
      <c r="R405" s="1">
        <v>46182.068136574075</v>
      </c>
      <c r="S405" s="1">
        <v>46205.863240740742</v>
      </c>
    </row>
    <row r="406" spans="1:19" x14ac:dyDescent="0.25">
      <c r="A406">
        <v>2010107413</v>
      </c>
      <c r="B406" t="s">
        <v>28</v>
      </c>
      <c r="C406" t="s">
        <v>29</v>
      </c>
      <c r="D406" t="s">
        <v>1019</v>
      </c>
      <c r="E406" t="s">
        <v>1020</v>
      </c>
      <c r="F406" t="e">
        <f>--ds-btn-radius-warning-icon-size</f>
        <v>#NAME?</v>
      </c>
      <c r="G406" t="s">
        <v>843</v>
      </c>
      <c r="H406" t="s">
        <v>843</v>
      </c>
      <c r="I406" t="s">
        <v>32</v>
      </c>
      <c r="J406" t="s">
        <v>844</v>
      </c>
      <c r="K406" t="s">
        <v>74</v>
      </c>
      <c r="L406" t="s">
        <v>183</v>
      </c>
      <c r="M406" t="s">
        <v>106</v>
      </c>
      <c r="N406" t="s">
        <v>992</v>
      </c>
      <c r="O406">
        <v>1</v>
      </c>
      <c r="P406">
        <v>0</v>
      </c>
      <c r="Q406">
        <v>14</v>
      </c>
      <c r="R406" s="1">
        <v>46182.068136574075</v>
      </c>
      <c r="S406" s="1">
        <v>46205.863240740742</v>
      </c>
    </row>
    <row r="407" spans="1:19" x14ac:dyDescent="0.25">
      <c r="A407">
        <v>2010107414</v>
      </c>
      <c r="B407" t="s">
        <v>28</v>
      </c>
      <c r="C407" t="s">
        <v>29</v>
      </c>
      <c r="D407" t="s">
        <v>1021</v>
      </c>
      <c r="E407" t="s">
        <v>1022</v>
      </c>
      <c r="F407" t="e">
        <f>--ds-btn-radius-warning-line-height</f>
        <v>#NAME?</v>
      </c>
      <c r="G407">
        <v>1.25</v>
      </c>
      <c r="H407">
        <v>1.25</v>
      </c>
      <c r="I407" t="s">
        <v>32</v>
      </c>
      <c r="J407" t="s">
        <v>844</v>
      </c>
      <c r="K407" t="s">
        <v>74</v>
      </c>
      <c r="L407" t="s">
        <v>183</v>
      </c>
      <c r="M407" t="s">
        <v>109</v>
      </c>
      <c r="N407" t="s">
        <v>992</v>
      </c>
      <c r="O407">
        <v>1</v>
      </c>
      <c r="P407">
        <v>0</v>
      </c>
      <c r="Q407">
        <v>15</v>
      </c>
      <c r="R407" s="1">
        <v>46182.068136574075</v>
      </c>
      <c r="S407" s="1">
        <v>46205.863240740742</v>
      </c>
    </row>
    <row r="408" spans="1:19" x14ac:dyDescent="0.25">
      <c r="A408">
        <v>2010107415</v>
      </c>
      <c r="B408" t="s">
        <v>28</v>
      </c>
      <c r="C408" t="s">
        <v>29</v>
      </c>
      <c r="D408" t="s">
        <v>1023</v>
      </c>
      <c r="E408" t="s">
        <v>1024</v>
      </c>
      <c r="F408" t="e">
        <f>--ds-btn-radius-warning-radius</f>
        <v>#NAME?</v>
      </c>
      <c r="G408" t="s">
        <v>856</v>
      </c>
      <c r="H408" t="s">
        <v>856</v>
      </c>
      <c r="I408" t="s">
        <v>32</v>
      </c>
      <c r="J408" t="s">
        <v>844</v>
      </c>
      <c r="K408" t="s">
        <v>74</v>
      </c>
      <c r="L408" t="s">
        <v>183</v>
      </c>
      <c r="M408" t="s">
        <v>74</v>
      </c>
      <c r="N408" t="s">
        <v>992</v>
      </c>
      <c r="O408">
        <v>1</v>
      </c>
      <c r="P408">
        <v>0</v>
      </c>
      <c r="Q408">
        <v>16</v>
      </c>
      <c r="R408" s="1">
        <v>46182.068136574075</v>
      </c>
      <c r="S408" s="1">
        <v>46205.863240740742</v>
      </c>
    </row>
    <row r="409" spans="1:19" x14ac:dyDescent="0.25">
      <c r="A409">
        <v>2010107416</v>
      </c>
      <c r="B409" t="s">
        <v>28</v>
      </c>
      <c r="C409" t="s">
        <v>29</v>
      </c>
      <c r="D409" t="s">
        <v>1025</v>
      </c>
      <c r="E409" t="s">
        <v>1026</v>
      </c>
      <c r="F409" t="e">
        <f>--ds-btn-radius-warning-shadow</f>
        <v>#NAME?</v>
      </c>
      <c r="G409" t="s">
        <v>94</v>
      </c>
      <c r="H409" t="s">
        <v>94</v>
      </c>
      <c r="I409" t="s">
        <v>32</v>
      </c>
      <c r="J409" t="s">
        <v>69</v>
      </c>
      <c r="K409" t="s">
        <v>74</v>
      </c>
      <c r="L409" t="s">
        <v>183</v>
      </c>
      <c r="M409" t="s">
        <v>70</v>
      </c>
      <c r="N409" t="s">
        <v>992</v>
      </c>
      <c r="O409">
        <v>1</v>
      </c>
      <c r="P409">
        <v>0</v>
      </c>
      <c r="Q409">
        <v>17</v>
      </c>
      <c r="R409" s="1">
        <v>46182.068136574075</v>
      </c>
      <c r="S409" s="1">
        <v>46205.863240740742</v>
      </c>
    </row>
    <row r="410" spans="1:19" x14ac:dyDescent="0.25">
      <c r="A410">
        <v>2010107417</v>
      </c>
      <c r="B410" t="s">
        <v>28</v>
      </c>
      <c r="C410" t="s">
        <v>29</v>
      </c>
      <c r="D410" t="s">
        <v>1027</v>
      </c>
      <c r="E410" t="s">
        <v>1028</v>
      </c>
      <c r="F410" t="e">
        <f>--ds-btn-radius-warning-focus-ring</f>
        <v>#NAME?</v>
      </c>
      <c r="G410" t="s">
        <v>1029</v>
      </c>
      <c r="H410" t="s">
        <v>1029</v>
      </c>
      <c r="I410" t="s">
        <v>32</v>
      </c>
      <c r="J410" t="s">
        <v>69</v>
      </c>
      <c r="K410" t="s">
        <v>74</v>
      </c>
      <c r="L410" t="s">
        <v>183</v>
      </c>
      <c r="M410" t="s">
        <v>91</v>
      </c>
      <c r="N410" t="s">
        <v>992</v>
      </c>
      <c r="O410">
        <v>1</v>
      </c>
      <c r="P410">
        <v>0</v>
      </c>
      <c r="Q410">
        <v>18</v>
      </c>
      <c r="R410" s="1">
        <v>46182.068136574075</v>
      </c>
      <c r="S410" s="1">
        <v>46205.863240740742</v>
      </c>
    </row>
    <row r="411" spans="1:19" x14ac:dyDescent="0.25">
      <c r="A411">
        <v>2010107418</v>
      </c>
      <c r="B411" t="s">
        <v>28</v>
      </c>
      <c r="C411" t="s">
        <v>29</v>
      </c>
      <c r="D411" t="s">
        <v>1030</v>
      </c>
      <c r="E411" t="s">
        <v>1031</v>
      </c>
      <c r="F411" t="e">
        <f>--ds-btn-radius-warning-transition</f>
        <v>#NAME?</v>
      </c>
      <c r="G411" t="s">
        <v>98</v>
      </c>
      <c r="H411" t="s">
        <v>98</v>
      </c>
      <c r="I411" t="s">
        <v>32</v>
      </c>
      <c r="J411" t="s">
        <v>69</v>
      </c>
      <c r="K411" t="s">
        <v>74</v>
      </c>
      <c r="L411" t="s">
        <v>183</v>
      </c>
      <c r="M411" t="s">
        <v>99</v>
      </c>
      <c r="N411" t="s">
        <v>992</v>
      </c>
      <c r="O411">
        <v>1</v>
      </c>
      <c r="P411">
        <v>0</v>
      </c>
      <c r="Q411">
        <v>19</v>
      </c>
      <c r="R411" s="1">
        <v>46182.068136574075</v>
      </c>
      <c r="S411" s="1">
        <v>46205.863240740742</v>
      </c>
    </row>
    <row r="412" spans="1:19" x14ac:dyDescent="0.25">
      <c r="A412">
        <v>2010107500</v>
      </c>
      <c r="B412" t="s">
        <v>28</v>
      </c>
      <c r="C412" t="s">
        <v>29</v>
      </c>
      <c r="D412" t="s">
        <v>1032</v>
      </c>
      <c r="E412" t="s">
        <v>1033</v>
      </c>
      <c r="F412" t="e">
        <f>--ds-btn-radius-info-bg</f>
        <v>#NAME?</v>
      </c>
      <c r="G412" t="s">
        <v>204</v>
      </c>
      <c r="H412" t="s">
        <v>204</v>
      </c>
      <c r="I412" t="s">
        <v>32</v>
      </c>
      <c r="J412" t="s">
        <v>24</v>
      </c>
      <c r="K412" t="s">
        <v>74</v>
      </c>
      <c r="L412" t="s">
        <v>205</v>
      </c>
      <c r="M412" t="s">
        <v>26</v>
      </c>
      <c r="N412" t="s">
        <v>1034</v>
      </c>
      <c r="O412">
        <v>1</v>
      </c>
      <c r="P412">
        <v>1</v>
      </c>
      <c r="Q412">
        <v>1</v>
      </c>
      <c r="R412" s="1">
        <v>46182.06832175926</v>
      </c>
      <c r="S412" s="1">
        <v>46205.863240740742</v>
      </c>
    </row>
    <row r="413" spans="1:19" x14ac:dyDescent="0.25">
      <c r="A413">
        <v>2010107501</v>
      </c>
      <c r="B413" t="s">
        <v>28</v>
      </c>
      <c r="C413" t="s">
        <v>29</v>
      </c>
      <c r="D413" t="s">
        <v>1035</v>
      </c>
      <c r="E413" t="s">
        <v>1036</v>
      </c>
      <c r="F413" t="e">
        <f>--ds-btn-radius-info-text</f>
        <v>#NAME?</v>
      </c>
      <c r="G413" t="s">
        <v>816</v>
      </c>
      <c r="H413" t="s">
        <v>816</v>
      </c>
      <c r="I413" t="s">
        <v>32</v>
      </c>
      <c r="J413" t="s">
        <v>24</v>
      </c>
      <c r="K413" t="s">
        <v>74</v>
      </c>
      <c r="L413" t="s">
        <v>205</v>
      </c>
      <c r="M413" t="s">
        <v>38</v>
      </c>
      <c r="N413" t="s">
        <v>1034</v>
      </c>
      <c r="O413">
        <v>1</v>
      </c>
      <c r="P413">
        <v>1</v>
      </c>
      <c r="Q413">
        <v>2</v>
      </c>
      <c r="R413" s="1">
        <v>46182.06832175926</v>
      </c>
      <c r="S413" s="1">
        <v>46205.863240740742</v>
      </c>
    </row>
    <row r="414" spans="1:19" x14ac:dyDescent="0.25">
      <c r="A414">
        <v>2010107502</v>
      </c>
      <c r="B414" t="s">
        <v>28</v>
      </c>
      <c r="C414" t="s">
        <v>29</v>
      </c>
      <c r="D414" t="s">
        <v>1037</v>
      </c>
      <c r="E414" t="s">
        <v>1038</v>
      </c>
      <c r="F414" t="e">
        <f>--ds-btn-radius-info-border</f>
        <v>#NAME?</v>
      </c>
      <c r="G414" t="s">
        <v>213</v>
      </c>
      <c r="H414" t="s">
        <v>213</v>
      </c>
      <c r="I414" t="s">
        <v>32</v>
      </c>
      <c r="J414" t="s">
        <v>24</v>
      </c>
      <c r="K414" t="s">
        <v>74</v>
      </c>
      <c r="L414" t="s">
        <v>205</v>
      </c>
      <c r="M414" t="s">
        <v>42</v>
      </c>
      <c r="N414" t="s">
        <v>1034</v>
      </c>
      <c r="O414">
        <v>1</v>
      </c>
      <c r="P414">
        <v>1</v>
      </c>
      <c r="Q414">
        <v>3</v>
      </c>
      <c r="R414" s="1">
        <v>46182.06832175926</v>
      </c>
      <c r="S414" s="1">
        <v>46205.863240740742</v>
      </c>
    </row>
    <row r="415" spans="1:19" x14ac:dyDescent="0.25">
      <c r="A415">
        <v>2010107503</v>
      </c>
      <c r="B415" t="s">
        <v>28</v>
      </c>
      <c r="C415" t="s">
        <v>29</v>
      </c>
      <c r="D415" t="s">
        <v>1039</v>
      </c>
      <c r="E415" t="s">
        <v>1040</v>
      </c>
      <c r="F415" t="e">
        <f>--ds-btn-radius-info-hover-bg</f>
        <v>#NAME?</v>
      </c>
      <c r="G415" t="s">
        <v>213</v>
      </c>
      <c r="H415" t="s">
        <v>213</v>
      </c>
      <c r="I415" t="s">
        <v>32</v>
      </c>
      <c r="J415" t="s">
        <v>24</v>
      </c>
      <c r="K415" t="s">
        <v>74</v>
      </c>
      <c r="L415" t="s">
        <v>205</v>
      </c>
      <c r="M415" t="s">
        <v>46</v>
      </c>
      <c r="N415" t="s">
        <v>1034</v>
      </c>
      <c r="O415">
        <v>1</v>
      </c>
      <c r="P415">
        <v>1</v>
      </c>
      <c r="Q415">
        <v>4</v>
      </c>
      <c r="R415" s="1">
        <v>46182.06832175926</v>
      </c>
      <c r="S415" s="1">
        <v>46205.863240740742</v>
      </c>
    </row>
    <row r="416" spans="1:19" x14ac:dyDescent="0.25">
      <c r="A416">
        <v>2010107504</v>
      </c>
      <c r="B416" t="s">
        <v>28</v>
      </c>
      <c r="C416" t="s">
        <v>29</v>
      </c>
      <c r="D416" t="s">
        <v>1041</v>
      </c>
      <c r="E416" t="s">
        <v>1042</v>
      </c>
      <c r="F416" t="e">
        <f>--ds-btn-radius-info-hover-text</f>
        <v>#NAME?</v>
      </c>
      <c r="G416" t="s">
        <v>816</v>
      </c>
      <c r="H416" t="s">
        <v>816</v>
      </c>
      <c r="I416" t="s">
        <v>32</v>
      </c>
      <c r="J416" t="s">
        <v>24</v>
      </c>
      <c r="K416" t="s">
        <v>74</v>
      </c>
      <c r="L416" t="s">
        <v>205</v>
      </c>
      <c r="M416" t="s">
        <v>49</v>
      </c>
      <c r="N416" t="s">
        <v>1034</v>
      </c>
      <c r="O416">
        <v>1</v>
      </c>
      <c r="P416">
        <v>1</v>
      </c>
      <c r="Q416">
        <v>5</v>
      </c>
      <c r="R416" s="1">
        <v>46182.06832175926</v>
      </c>
      <c r="S416" s="1">
        <v>46205.863240740742</v>
      </c>
    </row>
    <row r="417" spans="1:19" x14ac:dyDescent="0.25">
      <c r="A417">
        <v>2010107505</v>
      </c>
      <c r="B417" t="s">
        <v>28</v>
      </c>
      <c r="C417" t="s">
        <v>29</v>
      </c>
      <c r="D417" t="s">
        <v>1043</v>
      </c>
      <c r="E417" t="s">
        <v>1044</v>
      </c>
      <c r="F417" t="e">
        <f>--ds-btn-radius-info-hover-border</f>
        <v>#NAME?</v>
      </c>
      <c r="G417" t="s">
        <v>1045</v>
      </c>
      <c r="H417" t="s">
        <v>1045</v>
      </c>
      <c r="I417" t="s">
        <v>32</v>
      </c>
      <c r="J417" t="s">
        <v>24</v>
      </c>
      <c r="K417" t="s">
        <v>74</v>
      </c>
      <c r="L417" t="s">
        <v>205</v>
      </c>
      <c r="M417" t="s">
        <v>53</v>
      </c>
      <c r="N417" t="s">
        <v>1034</v>
      </c>
      <c r="O417">
        <v>1</v>
      </c>
      <c r="P417">
        <v>1</v>
      </c>
      <c r="Q417">
        <v>6</v>
      </c>
      <c r="R417" s="1">
        <v>46182.06832175926</v>
      </c>
      <c r="S417" s="1">
        <v>46205.863240740742</v>
      </c>
    </row>
    <row r="418" spans="1:19" x14ac:dyDescent="0.25">
      <c r="A418">
        <v>2010107506</v>
      </c>
      <c r="B418" t="s">
        <v>28</v>
      </c>
      <c r="C418" t="s">
        <v>29</v>
      </c>
      <c r="D418" t="s">
        <v>1046</v>
      </c>
      <c r="E418" t="s">
        <v>1047</v>
      </c>
      <c r="F418" t="e">
        <f>--ds-btn-radius-info-disabled-bg</f>
        <v>#NAME?</v>
      </c>
      <c r="G418" t="s">
        <v>530</v>
      </c>
      <c r="H418" t="s">
        <v>530</v>
      </c>
      <c r="I418" t="s">
        <v>32</v>
      </c>
      <c r="J418" t="s">
        <v>24</v>
      </c>
      <c r="K418" t="s">
        <v>74</v>
      </c>
      <c r="L418" t="s">
        <v>205</v>
      </c>
      <c r="M418" t="s">
        <v>57</v>
      </c>
      <c r="N418" t="s">
        <v>1034</v>
      </c>
      <c r="O418">
        <v>1</v>
      </c>
      <c r="P418">
        <v>1</v>
      </c>
      <c r="Q418">
        <v>7</v>
      </c>
      <c r="R418" s="1">
        <v>46182.06832175926</v>
      </c>
      <c r="S418" s="1">
        <v>46205.863240740742</v>
      </c>
    </row>
    <row r="419" spans="1:19" x14ac:dyDescent="0.25">
      <c r="A419">
        <v>2010107507</v>
      </c>
      <c r="B419" t="s">
        <v>28</v>
      </c>
      <c r="C419" t="s">
        <v>29</v>
      </c>
      <c r="D419" t="s">
        <v>1048</v>
      </c>
      <c r="E419" t="s">
        <v>1049</v>
      </c>
      <c r="F419" t="e">
        <f>--ds-btn-radius-info-disabled-text</f>
        <v>#NAME?</v>
      </c>
      <c r="G419" t="s">
        <v>60</v>
      </c>
      <c r="H419" t="s">
        <v>60</v>
      </c>
      <c r="I419" t="s">
        <v>32</v>
      </c>
      <c r="J419" t="s">
        <v>24</v>
      </c>
      <c r="K419" t="s">
        <v>74</v>
      </c>
      <c r="L419" t="s">
        <v>205</v>
      </c>
      <c r="M419" t="s">
        <v>61</v>
      </c>
      <c r="N419" t="s">
        <v>1034</v>
      </c>
      <c r="O419">
        <v>1</v>
      </c>
      <c r="P419">
        <v>1</v>
      </c>
      <c r="Q419">
        <v>8</v>
      </c>
      <c r="R419" s="1">
        <v>46182.06832175926</v>
      </c>
      <c r="S419" s="1">
        <v>46205.863240740742</v>
      </c>
    </row>
    <row r="420" spans="1:19" x14ac:dyDescent="0.25">
      <c r="A420">
        <v>2010107508</v>
      </c>
      <c r="B420" t="s">
        <v>28</v>
      </c>
      <c r="C420" t="s">
        <v>29</v>
      </c>
      <c r="D420" t="s">
        <v>1050</v>
      </c>
      <c r="E420" t="s">
        <v>1051</v>
      </c>
      <c r="F420" t="e">
        <f>--ds-btn-radius-info-disabled-border</f>
        <v>#NAME?</v>
      </c>
      <c r="G420" t="s">
        <v>539</v>
      </c>
      <c r="H420" t="s">
        <v>539</v>
      </c>
      <c r="I420" t="s">
        <v>32</v>
      </c>
      <c r="J420" t="s">
        <v>24</v>
      </c>
      <c r="K420" t="s">
        <v>74</v>
      </c>
      <c r="L420" t="s">
        <v>205</v>
      </c>
      <c r="M420" t="s">
        <v>65</v>
      </c>
      <c r="N420" t="s">
        <v>1034</v>
      </c>
      <c r="O420">
        <v>1</v>
      </c>
      <c r="P420">
        <v>1</v>
      </c>
      <c r="Q420">
        <v>9</v>
      </c>
      <c r="R420" s="1">
        <v>46182.06832175926</v>
      </c>
      <c r="S420" s="1">
        <v>46205.863240740742</v>
      </c>
    </row>
    <row r="421" spans="1:19" x14ac:dyDescent="0.25">
      <c r="A421">
        <v>2010107509</v>
      </c>
      <c r="B421" t="s">
        <v>28</v>
      </c>
      <c r="C421" t="s">
        <v>29</v>
      </c>
      <c r="D421" t="s">
        <v>1052</v>
      </c>
      <c r="E421" t="s">
        <v>1053</v>
      </c>
      <c r="F421" t="e">
        <f>--ds-btn-radius-info-icon-color</f>
        <v>#NAME?</v>
      </c>
      <c r="G421" t="s">
        <v>816</v>
      </c>
      <c r="H421" t="s">
        <v>816</v>
      </c>
      <c r="I421" t="s">
        <v>32</v>
      </c>
      <c r="J421" t="s">
        <v>24</v>
      </c>
      <c r="K421" t="s">
        <v>74</v>
      </c>
      <c r="L421" t="s">
        <v>205</v>
      </c>
      <c r="M421" t="s">
        <v>102</v>
      </c>
      <c r="N421" t="s">
        <v>1034</v>
      </c>
      <c r="O421">
        <v>1</v>
      </c>
      <c r="P421">
        <v>1</v>
      </c>
      <c r="Q421">
        <v>10</v>
      </c>
      <c r="R421" s="1">
        <v>46182.06832175926</v>
      </c>
      <c r="S421" s="1">
        <v>46205.863240740742</v>
      </c>
    </row>
    <row r="422" spans="1:19" x14ac:dyDescent="0.25">
      <c r="A422">
        <v>2010107510</v>
      </c>
      <c r="B422" t="s">
        <v>28</v>
      </c>
      <c r="C422" t="s">
        <v>29</v>
      </c>
      <c r="D422" t="s">
        <v>1054</v>
      </c>
      <c r="E422" t="s">
        <v>1055</v>
      </c>
      <c r="F422" t="e">
        <f>--ds-btn-radius-info-padding-x</f>
        <v>#NAME?</v>
      </c>
      <c r="G422" t="s">
        <v>843</v>
      </c>
      <c r="H422" t="s">
        <v>843</v>
      </c>
      <c r="I422" t="s">
        <v>32</v>
      </c>
      <c r="J422" t="s">
        <v>844</v>
      </c>
      <c r="K422" t="s">
        <v>74</v>
      </c>
      <c r="L422" t="s">
        <v>205</v>
      </c>
      <c r="M422" t="s">
        <v>79</v>
      </c>
      <c r="N422" t="s">
        <v>1034</v>
      </c>
      <c r="O422">
        <v>1</v>
      </c>
      <c r="P422">
        <v>0</v>
      </c>
      <c r="Q422">
        <v>11</v>
      </c>
      <c r="R422" s="1">
        <v>46182.06832175926</v>
      </c>
      <c r="S422" s="1">
        <v>46205.863240740742</v>
      </c>
    </row>
    <row r="423" spans="1:19" x14ac:dyDescent="0.25">
      <c r="A423">
        <v>2010107511</v>
      </c>
      <c r="B423" t="s">
        <v>28</v>
      </c>
      <c r="C423" t="s">
        <v>29</v>
      </c>
      <c r="D423" t="s">
        <v>1056</v>
      </c>
      <c r="E423" t="s">
        <v>1057</v>
      </c>
      <c r="F423" t="e">
        <f>--ds-btn-radius-info-padding-y</f>
        <v>#NAME?</v>
      </c>
      <c r="G423" t="s">
        <v>847</v>
      </c>
      <c r="H423" t="s">
        <v>847</v>
      </c>
      <c r="I423" t="s">
        <v>32</v>
      </c>
      <c r="J423" t="s">
        <v>844</v>
      </c>
      <c r="K423" t="s">
        <v>74</v>
      </c>
      <c r="L423" t="s">
        <v>205</v>
      </c>
      <c r="M423" t="s">
        <v>83</v>
      </c>
      <c r="N423" t="s">
        <v>1034</v>
      </c>
      <c r="O423">
        <v>1</v>
      </c>
      <c r="P423">
        <v>0</v>
      </c>
      <c r="Q423">
        <v>12</v>
      </c>
      <c r="R423" s="1">
        <v>46182.06832175926</v>
      </c>
      <c r="S423" s="1">
        <v>46205.863240740742</v>
      </c>
    </row>
    <row r="424" spans="1:19" x14ac:dyDescent="0.25">
      <c r="A424">
        <v>2010107512</v>
      </c>
      <c r="B424" t="s">
        <v>28</v>
      </c>
      <c r="C424" t="s">
        <v>29</v>
      </c>
      <c r="D424" t="s">
        <v>1058</v>
      </c>
      <c r="E424" t="s">
        <v>1059</v>
      </c>
      <c r="F424" t="e">
        <f>--ds-btn-radius-info-gap</f>
        <v>#NAME?</v>
      </c>
      <c r="G424" t="s">
        <v>847</v>
      </c>
      <c r="H424" t="s">
        <v>847</v>
      </c>
      <c r="I424" t="s">
        <v>32</v>
      </c>
      <c r="J424" t="s">
        <v>844</v>
      </c>
      <c r="K424" t="s">
        <v>74</v>
      </c>
      <c r="L424" t="s">
        <v>205</v>
      </c>
      <c r="M424" t="s">
        <v>87</v>
      </c>
      <c r="N424" t="s">
        <v>1034</v>
      </c>
      <c r="O424">
        <v>1</v>
      </c>
      <c r="P424">
        <v>0</v>
      </c>
      <c r="Q424">
        <v>13</v>
      </c>
      <c r="R424" s="1">
        <v>46182.06832175926</v>
      </c>
      <c r="S424" s="1">
        <v>46205.863240740742</v>
      </c>
    </row>
    <row r="425" spans="1:19" x14ac:dyDescent="0.25">
      <c r="A425">
        <v>2010107513</v>
      </c>
      <c r="B425" t="s">
        <v>28</v>
      </c>
      <c r="C425" t="s">
        <v>29</v>
      </c>
      <c r="D425" t="s">
        <v>1060</v>
      </c>
      <c r="E425" t="s">
        <v>1061</v>
      </c>
      <c r="F425" t="e">
        <f>--ds-btn-radius-info-icon-size</f>
        <v>#NAME?</v>
      </c>
      <c r="G425" t="s">
        <v>843</v>
      </c>
      <c r="H425" t="s">
        <v>843</v>
      </c>
      <c r="I425" t="s">
        <v>32</v>
      </c>
      <c r="J425" t="s">
        <v>844</v>
      </c>
      <c r="K425" t="s">
        <v>74</v>
      </c>
      <c r="L425" t="s">
        <v>205</v>
      </c>
      <c r="M425" t="s">
        <v>106</v>
      </c>
      <c r="N425" t="s">
        <v>1034</v>
      </c>
      <c r="O425">
        <v>1</v>
      </c>
      <c r="P425">
        <v>0</v>
      </c>
      <c r="Q425">
        <v>14</v>
      </c>
      <c r="R425" s="1">
        <v>46182.06832175926</v>
      </c>
      <c r="S425" s="1">
        <v>46205.863240740742</v>
      </c>
    </row>
    <row r="426" spans="1:19" x14ac:dyDescent="0.25">
      <c r="A426">
        <v>2010107514</v>
      </c>
      <c r="B426" t="s">
        <v>28</v>
      </c>
      <c r="C426" t="s">
        <v>29</v>
      </c>
      <c r="D426" t="s">
        <v>1062</v>
      </c>
      <c r="E426" t="s">
        <v>1063</v>
      </c>
      <c r="F426" t="e">
        <f>--ds-btn-radius-info-line-height</f>
        <v>#NAME?</v>
      </c>
      <c r="G426">
        <v>1.25</v>
      </c>
      <c r="H426">
        <v>1.25</v>
      </c>
      <c r="I426" t="s">
        <v>32</v>
      </c>
      <c r="J426" t="s">
        <v>844</v>
      </c>
      <c r="K426" t="s">
        <v>74</v>
      </c>
      <c r="L426" t="s">
        <v>205</v>
      </c>
      <c r="M426" t="s">
        <v>109</v>
      </c>
      <c r="N426" t="s">
        <v>1034</v>
      </c>
      <c r="O426">
        <v>1</v>
      </c>
      <c r="P426">
        <v>0</v>
      </c>
      <c r="Q426">
        <v>15</v>
      </c>
      <c r="R426" s="1">
        <v>46182.06832175926</v>
      </c>
      <c r="S426" s="1">
        <v>46205.863240740742</v>
      </c>
    </row>
    <row r="427" spans="1:19" x14ac:dyDescent="0.25">
      <c r="A427">
        <v>2010107515</v>
      </c>
      <c r="B427" t="s">
        <v>28</v>
      </c>
      <c r="C427" t="s">
        <v>29</v>
      </c>
      <c r="D427" t="s">
        <v>1064</v>
      </c>
      <c r="E427" t="s">
        <v>1065</v>
      </c>
      <c r="F427" t="e">
        <f>--ds-btn-radius-info-radius</f>
        <v>#NAME?</v>
      </c>
      <c r="G427" t="s">
        <v>856</v>
      </c>
      <c r="H427" t="s">
        <v>856</v>
      </c>
      <c r="I427" t="s">
        <v>32</v>
      </c>
      <c r="J427" t="s">
        <v>844</v>
      </c>
      <c r="K427" t="s">
        <v>74</v>
      </c>
      <c r="L427" t="s">
        <v>205</v>
      </c>
      <c r="M427" t="s">
        <v>74</v>
      </c>
      <c r="N427" t="s">
        <v>1034</v>
      </c>
      <c r="O427">
        <v>1</v>
      </c>
      <c r="P427">
        <v>0</v>
      </c>
      <c r="Q427">
        <v>16</v>
      </c>
      <c r="R427" s="1">
        <v>46182.06832175926</v>
      </c>
      <c r="S427" s="1">
        <v>46205.863240740742</v>
      </c>
    </row>
    <row r="428" spans="1:19" x14ac:dyDescent="0.25">
      <c r="A428">
        <v>2010107516</v>
      </c>
      <c r="B428" t="s">
        <v>28</v>
      </c>
      <c r="C428" t="s">
        <v>29</v>
      </c>
      <c r="D428" t="s">
        <v>1066</v>
      </c>
      <c r="E428" t="s">
        <v>1067</v>
      </c>
      <c r="F428" t="e">
        <f>--ds-btn-radius-info-shadow</f>
        <v>#NAME?</v>
      </c>
      <c r="G428" t="s">
        <v>94</v>
      </c>
      <c r="H428" t="s">
        <v>94</v>
      </c>
      <c r="I428" t="s">
        <v>32</v>
      </c>
      <c r="J428" t="s">
        <v>69</v>
      </c>
      <c r="K428" t="s">
        <v>74</v>
      </c>
      <c r="L428" t="s">
        <v>205</v>
      </c>
      <c r="M428" t="s">
        <v>70</v>
      </c>
      <c r="N428" t="s">
        <v>1034</v>
      </c>
      <c r="O428">
        <v>1</v>
      </c>
      <c r="P428">
        <v>0</v>
      </c>
      <c r="Q428">
        <v>17</v>
      </c>
      <c r="R428" s="1">
        <v>46182.06832175926</v>
      </c>
      <c r="S428" s="1">
        <v>46205.863240740742</v>
      </c>
    </row>
    <row r="429" spans="1:19" x14ac:dyDescent="0.25">
      <c r="A429">
        <v>2010107517</v>
      </c>
      <c r="B429" t="s">
        <v>28</v>
      </c>
      <c r="C429" t="s">
        <v>29</v>
      </c>
      <c r="D429" t="s">
        <v>1068</v>
      </c>
      <c r="E429" t="s">
        <v>1069</v>
      </c>
      <c r="F429" t="e">
        <f>--ds-btn-radius-info-focus-ring</f>
        <v>#NAME?</v>
      </c>
      <c r="G429" t="s">
        <v>1070</v>
      </c>
      <c r="H429" t="s">
        <v>1070</v>
      </c>
      <c r="I429" t="s">
        <v>32</v>
      </c>
      <c r="J429" t="s">
        <v>69</v>
      </c>
      <c r="K429" t="s">
        <v>74</v>
      </c>
      <c r="L429" t="s">
        <v>205</v>
      </c>
      <c r="M429" t="s">
        <v>91</v>
      </c>
      <c r="N429" t="s">
        <v>1034</v>
      </c>
      <c r="O429">
        <v>1</v>
      </c>
      <c r="P429">
        <v>0</v>
      </c>
      <c r="Q429">
        <v>18</v>
      </c>
      <c r="R429" s="1">
        <v>46182.06832175926</v>
      </c>
      <c r="S429" s="1">
        <v>46205.863240740742</v>
      </c>
    </row>
    <row r="430" spans="1:19" x14ac:dyDescent="0.25">
      <c r="A430">
        <v>2010107518</v>
      </c>
      <c r="B430" t="s">
        <v>28</v>
      </c>
      <c r="C430" t="s">
        <v>29</v>
      </c>
      <c r="D430" t="s">
        <v>1071</v>
      </c>
      <c r="E430" t="s">
        <v>1072</v>
      </c>
      <c r="F430" t="e">
        <f>--ds-btn-radius-info-transition</f>
        <v>#NAME?</v>
      </c>
      <c r="G430" t="s">
        <v>98</v>
      </c>
      <c r="H430" t="s">
        <v>98</v>
      </c>
      <c r="I430" t="s">
        <v>32</v>
      </c>
      <c r="J430" t="s">
        <v>69</v>
      </c>
      <c r="K430" t="s">
        <v>74</v>
      </c>
      <c r="L430" t="s">
        <v>205</v>
      </c>
      <c r="M430" t="s">
        <v>99</v>
      </c>
      <c r="N430" t="s">
        <v>1034</v>
      </c>
      <c r="O430">
        <v>1</v>
      </c>
      <c r="P430">
        <v>0</v>
      </c>
      <c r="Q430">
        <v>19</v>
      </c>
      <c r="R430" s="1">
        <v>46182.06832175926</v>
      </c>
      <c r="S430" s="1">
        <v>46205.863240740742</v>
      </c>
    </row>
    <row r="431" spans="1:19" x14ac:dyDescent="0.25">
      <c r="A431">
        <v>2010107600</v>
      </c>
      <c r="B431" t="s">
        <v>28</v>
      </c>
      <c r="C431" t="s">
        <v>29</v>
      </c>
      <c r="D431" t="s">
        <v>1073</v>
      </c>
      <c r="E431" t="s">
        <v>1074</v>
      </c>
      <c r="F431" t="e">
        <f>--ds-btn-radius-light-bg</f>
        <v>#NAME?</v>
      </c>
      <c r="G431" t="s">
        <v>123</v>
      </c>
      <c r="H431" t="s">
        <v>123</v>
      </c>
      <c r="I431" t="s">
        <v>32</v>
      </c>
      <c r="J431" t="s">
        <v>24</v>
      </c>
      <c r="K431" t="s">
        <v>74</v>
      </c>
      <c r="L431" t="s">
        <v>226</v>
      </c>
      <c r="M431" t="s">
        <v>26</v>
      </c>
      <c r="N431" t="s">
        <v>1075</v>
      </c>
      <c r="O431">
        <v>1</v>
      </c>
      <c r="P431">
        <v>1</v>
      </c>
      <c r="Q431">
        <v>1</v>
      </c>
      <c r="R431" s="1">
        <v>46182.068437499998</v>
      </c>
      <c r="S431" s="1">
        <v>46205.863240740742</v>
      </c>
    </row>
    <row r="432" spans="1:19" x14ac:dyDescent="0.25">
      <c r="A432">
        <v>2010107601</v>
      </c>
      <c r="B432" t="s">
        <v>28</v>
      </c>
      <c r="C432" t="s">
        <v>29</v>
      </c>
      <c r="D432" t="s">
        <v>1076</v>
      </c>
      <c r="E432" t="s">
        <v>1077</v>
      </c>
      <c r="F432" t="e">
        <f>--ds-btn-radius-light-text</f>
        <v>#NAME?</v>
      </c>
      <c r="G432" t="s">
        <v>816</v>
      </c>
      <c r="H432" t="s">
        <v>816</v>
      </c>
      <c r="I432" t="s">
        <v>32</v>
      </c>
      <c r="J432" t="s">
        <v>24</v>
      </c>
      <c r="K432" t="s">
        <v>74</v>
      </c>
      <c r="L432" t="s">
        <v>226</v>
      </c>
      <c r="M432" t="s">
        <v>38</v>
      </c>
      <c r="N432" t="s">
        <v>1075</v>
      </c>
      <c r="O432">
        <v>1</v>
      </c>
      <c r="P432">
        <v>1</v>
      </c>
      <c r="Q432">
        <v>2</v>
      </c>
      <c r="R432" s="1">
        <v>46182.068437499998</v>
      </c>
      <c r="S432" s="1">
        <v>46205.863240740742</v>
      </c>
    </row>
    <row r="433" spans="1:19" x14ac:dyDescent="0.25">
      <c r="A433">
        <v>2010107602</v>
      </c>
      <c r="B433" t="s">
        <v>28</v>
      </c>
      <c r="C433" t="s">
        <v>29</v>
      </c>
      <c r="D433" t="s">
        <v>1078</v>
      </c>
      <c r="E433" t="s">
        <v>1079</v>
      </c>
      <c r="F433" t="e">
        <f>--ds-btn-radius-light-border</f>
        <v>#NAME?</v>
      </c>
      <c r="G433" t="s">
        <v>1080</v>
      </c>
      <c r="H433" t="s">
        <v>1080</v>
      </c>
      <c r="I433" t="s">
        <v>32</v>
      </c>
      <c r="J433" t="s">
        <v>24</v>
      </c>
      <c r="K433" t="s">
        <v>74</v>
      </c>
      <c r="L433" t="s">
        <v>226</v>
      </c>
      <c r="M433" t="s">
        <v>42</v>
      </c>
      <c r="N433" t="s">
        <v>1075</v>
      </c>
      <c r="O433">
        <v>1</v>
      </c>
      <c r="P433">
        <v>1</v>
      </c>
      <c r="Q433">
        <v>3</v>
      </c>
      <c r="R433" s="1">
        <v>46182.068437499998</v>
      </c>
      <c r="S433" s="1">
        <v>46205.863240740742</v>
      </c>
    </row>
    <row r="434" spans="1:19" x14ac:dyDescent="0.25">
      <c r="A434">
        <v>2010107603</v>
      </c>
      <c r="B434" t="s">
        <v>28</v>
      </c>
      <c r="C434" t="s">
        <v>29</v>
      </c>
      <c r="D434" t="s">
        <v>1081</v>
      </c>
      <c r="E434" t="s">
        <v>1082</v>
      </c>
      <c r="F434" t="e">
        <f>--ds-btn-radius-light-hover-bg</f>
        <v>#NAME?</v>
      </c>
      <c r="G434" t="s">
        <v>1080</v>
      </c>
      <c r="H434" t="s">
        <v>1080</v>
      </c>
      <c r="I434" t="s">
        <v>32</v>
      </c>
      <c r="J434" t="s">
        <v>24</v>
      </c>
      <c r="K434" t="s">
        <v>74</v>
      </c>
      <c r="L434" t="s">
        <v>226</v>
      </c>
      <c r="M434" t="s">
        <v>46</v>
      </c>
      <c r="N434" t="s">
        <v>1075</v>
      </c>
      <c r="O434">
        <v>1</v>
      </c>
      <c r="P434">
        <v>1</v>
      </c>
      <c r="Q434">
        <v>4</v>
      </c>
      <c r="R434" s="1">
        <v>46182.068437499998</v>
      </c>
      <c r="S434" s="1">
        <v>46205.863240740742</v>
      </c>
    </row>
    <row r="435" spans="1:19" x14ac:dyDescent="0.25">
      <c r="A435">
        <v>2010107604</v>
      </c>
      <c r="B435" t="s">
        <v>28</v>
      </c>
      <c r="C435" t="s">
        <v>29</v>
      </c>
      <c r="D435" t="s">
        <v>1083</v>
      </c>
      <c r="E435" t="s">
        <v>1084</v>
      </c>
      <c r="F435" t="e">
        <f>--ds-btn-radius-light-hover-text</f>
        <v>#NAME?</v>
      </c>
      <c r="G435" t="s">
        <v>816</v>
      </c>
      <c r="H435" t="s">
        <v>816</v>
      </c>
      <c r="I435" t="s">
        <v>32</v>
      </c>
      <c r="J435" t="s">
        <v>24</v>
      </c>
      <c r="K435" t="s">
        <v>74</v>
      </c>
      <c r="L435" t="s">
        <v>226</v>
      </c>
      <c r="M435" t="s">
        <v>49</v>
      </c>
      <c r="N435" t="s">
        <v>1075</v>
      </c>
      <c r="O435">
        <v>1</v>
      </c>
      <c r="P435">
        <v>1</v>
      </c>
      <c r="Q435">
        <v>5</v>
      </c>
      <c r="R435" s="1">
        <v>46182.068437499998</v>
      </c>
      <c r="S435" s="1">
        <v>46205.863240740742</v>
      </c>
    </row>
    <row r="436" spans="1:19" x14ac:dyDescent="0.25">
      <c r="A436">
        <v>2010107605</v>
      </c>
      <c r="B436" t="s">
        <v>28</v>
      </c>
      <c r="C436" t="s">
        <v>29</v>
      </c>
      <c r="D436" t="s">
        <v>1085</v>
      </c>
      <c r="E436" t="s">
        <v>1086</v>
      </c>
      <c r="F436" t="e">
        <f>--ds-btn-radius-light-hover-border</f>
        <v>#NAME?</v>
      </c>
      <c r="G436" t="s">
        <v>123</v>
      </c>
      <c r="H436" t="s">
        <v>123</v>
      </c>
      <c r="I436" t="s">
        <v>32</v>
      </c>
      <c r="J436" t="s">
        <v>24</v>
      </c>
      <c r="K436" t="s">
        <v>74</v>
      </c>
      <c r="L436" t="s">
        <v>226</v>
      </c>
      <c r="M436" t="s">
        <v>53</v>
      </c>
      <c r="N436" t="s">
        <v>1075</v>
      </c>
      <c r="O436">
        <v>1</v>
      </c>
      <c r="P436">
        <v>1</v>
      </c>
      <c r="Q436">
        <v>6</v>
      </c>
      <c r="R436" s="1">
        <v>46182.068437499998</v>
      </c>
      <c r="S436" s="1">
        <v>46205.863240740742</v>
      </c>
    </row>
    <row r="437" spans="1:19" x14ac:dyDescent="0.25">
      <c r="A437">
        <v>2010107606</v>
      </c>
      <c r="B437" t="s">
        <v>28</v>
      </c>
      <c r="C437" t="s">
        <v>29</v>
      </c>
      <c r="D437" t="s">
        <v>1087</v>
      </c>
      <c r="E437" t="s">
        <v>1088</v>
      </c>
      <c r="F437" t="e">
        <f>--ds-btn-radius-light-disabled-bg</f>
        <v>#NAME?</v>
      </c>
      <c r="G437" t="s">
        <v>123</v>
      </c>
      <c r="H437" t="s">
        <v>123</v>
      </c>
      <c r="I437" t="s">
        <v>32</v>
      </c>
      <c r="J437" t="s">
        <v>24</v>
      </c>
      <c r="K437" t="s">
        <v>74</v>
      </c>
      <c r="L437" t="s">
        <v>226</v>
      </c>
      <c r="M437" t="s">
        <v>57</v>
      </c>
      <c r="N437" t="s">
        <v>1075</v>
      </c>
      <c r="O437">
        <v>1</v>
      </c>
      <c r="P437">
        <v>1</v>
      </c>
      <c r="Q437">
        <v>7</v>
      </c>
      <c r="R437" s="1">
        <v>46182.068437499998</v>
      </c>
      <c r="S437" s="1">
        <v>46205.863240740742</v>
      </c>
    </row>
    <row r="438" spans="1:19" x14ac:dyDescent="0.25">
      <c r="A438">
        <v>2010107607</v>
      </c>
      <c r="B438" t="s">
        <v>28</v>
      </c>
      <c r="C438" t="s">
        <v>29</v>
      </c>
      <c r="D438" t="s">
        <v>1089</v>
      </c>
      <c r="E438" t="s">
        <v>1090</v>
      </c>
      <c r="F438" t="e">
        <f>--ds-btn-radius-light-disabled-text</f>
        <v>#NAME?</v>
      </c>
      <c r="G438" t="s">
        <v>60</v>
      </c>
      <c r="H438" t="s">
        <v>60</v>
      </c>
      <c r="I438" t="s">
        <v>32</v>
      </c>
      <c r="J438" t="s">
        <v>24</v>
      </c>
      <c r="K438" t="s">
        <v>74</v>
      </c>
      <c r="L438" t="s">
        <v>226</v>
      </c>
      <c r="M438" t="s">
        <v>61</v>
      </c>
      <c r="N438" t="s">
        <v>1075</v>
      </c>
      <c r="O438">
        <v>1</v>
      </c>
      <c r="P438">
        <v>1</v>
      </c>
      <c r="Q438">
        <v>8</v>
      </c>
      <c r="R438" s="1">
        <v>46182.068437499998</v>
      </c>
      <c r="S438" s="1">
        <v>46205.863240740742</v>
      </c>
    </row>
    <row r="439" spans="1:19" x14ac:dyDescent="0.25">
      <c r="A439">
        <v>2010107608</v>
      </c>
      <c r="B439" t="s">
        <v>28</v>
      </c>
      <c r="C439" t="s">
        <v>29</v>
      </c>
      <c r="D439" t="s">
        <v>1091</v>
      </c>
      <c r="E439" t="s">
        <v>1092</v>
      </c>
      <c r="F439" t="e">
        <f>--ds-btn-radius-light-disabled-border</f>
        <v>#NAME?</v>
      </c>
      <c r="G439" t="s">
        <v>123</v>
      </c>
      <c r="H439" t="s">
        <v>123</v>
      </c>
      <c r="I439" t="s">
        <v>32</v>
      </c>
      <c r="J439" t="s">
        <v>24</v>
      </c>
      <c r="K439" t="s">
        <v>74</v>
      </c>
      <c r="L439" t="s">
        <v>226</v>
      </c>
      <c r="M439" t="s">
        <v>65</v>
      </c>
      <c r="N439" t="s">
        <v>1075</v>
      </c>
      <c r="O439">
        <v>1</v>
      </c>
      <c r="P439">
        <v>1</v>
      </c>
      <c r="Q439">
        <v>9</v>
      </c>
      <c r="R439" s="1">
        <v>46182.068437499998</v>
      </c>
      <c r="S439" s="1">
        <v>46205.863240740742</v>
      </c>
    </row>
    <row r="440" spans="1:19" x14ac:dyDescent="0.25">
      <c r="A440">
        <v>2010107609</v>
      </c>
      <c r="B440" t="s">
        <v>28</v>
      </c>
      <c r="C440" t="s">
        <v>29</v>
      </c>
      <c r="D440" t="s">
        <v>1093</v>
      </c>
      <c r="E440" t="s">
        <v>1094</v>
      </c>
      <c r="F440" t="e">
        <f>--ds-btn-radius-light-icon-color</f>
        <v>#NAME?</v>
      </c>
      <c r="G440" t="s">
        <v>816</v>
      </c>
      <c r="H440" t="s">
        <v>816</v>
      </c>
      <c r="I440" t="s">
        <v>32</v>
      </c>
      <c r="J440" t="s">
        <v>24</v>
      </c>
      <c r="K440" t="s">
        <v>74</v>
      </c>
      <c r="L440" t="s">
        <v>226</v>
      </c>
      <c r="M440" t="s">
        <v>102</v>
      </c>
      <c r="N440" t="s">
        <v>1075</v>
      </c>
      <c r="O440">
        <v>1</v>
      </c>
      <c r="P440">
        <v>1</v>
      </c>
      <c r="Q440">
        <v>10</v>
      </c>
      <c r="R440" s="1">
        <v>46182.068437499998</v>
      </c>
      <c r="S440" s="1">
        <v>46205.863240740742</v>
      </c>
    </row>
    <row r="441" spans="1:19" x14ac:dyDescent="0.25">
      <c r="A441">
        <v>2010107610</v>
      </c>
      <c r="B441" t="s">
        <v>28</v>
      </c>
      <c r="C441" t="s">
        <v>29</v>
      </c>
      <c r="D441" t="s">
        <v>1095</v>
      </c>
      <c r="E441" t="s">
        <v>1096</v>
      </c>
      <c r="F441" t="e">
        <f>--ds-btn-radius-light-padding-x</f>
        <v>#NAME?</v>
      </c>
      <c r="G441" t="s">
        <v>843</v>
      </c>
      <c r="H441" t="s">
        <v>843</v>
      </c>
      <c r="I441" t="s">
        <v>32</v>
      </c>
      <c r="J441" t="s">
        <v>844</v>
      </c>
      <c r="K441" t="s">
        <v>74</v>
      </c>
      <c r="L441" t="s">
        <v>226</v>
      </c>
      <c r="M441" t="s">
        <v>79</v>
      </c>
      <c r="N441" t="s">
        <v>1075</v>
      </c>
      <c r="O441">
        <v>1</v>
      </c>
      <c r="P441">
        <v>0</v>
      </c>
      <c r="Q441">
        <v>11</v>
      </c>
      <c r="R441" s="1">
        <v>46182.068437499998</v>
      </c>
      <c r="S441" s="1">
        <v>46205.863240740742</v>
      </c>
    </row>
    <row r="442" spans="1:19" x14ac:dyDescent="0.25">
      <c r="A442">
        <v>2010107611</v>
      </c>
      <c r="B442" t="s">
        <v>28</v>
      </c>
      <c r="C442" t="s">
        <v>29</v>
      </c>
      <c r="D442" t="s">
        <v>1097</v>
      </c>
      <c r="E442" t="s">
        <v>1098</v>
      </c>
      <c r="F442" t="e">
        <f>--ds-btn-radius-light-padding-y</f>
        <v>#NAME?</v>
      </c>
      <c r="G442" t="s">
        <v>847</v>
      </c>
      <c r="H442" t="s">
        <v>847</v>
      </c>
      <c r="I442" t="s">
        <v>32</v>
      </c>
      <c r="J442" t="s">
        <v>844</v>
      </c>
      <c r="K442" t="s">
        <v>74</v>
      </c>
      <c r="L442" t="s">
        <v>226</v>
      </c>
      <c r="M442" t="s">
        <v>83</v>
      </c>
      <c r="N442" t="s">
        <v>1075</v>
      </c>
      <c r="O442">
        <v>1</v>
      </c>
      <c r="P442">
        <v>0</v>
      </c>
      <c r="Q442">
        <v>12</v>
      </c>
      <c r="R442" s="1">
        <v>46182.068437499998</v>
      </c>
      <c r="S442" s="1">
        <v>46205.863240740742</v>
      </c>
    </row>
    <row r="443" spans="1:19" x14ac:dyDescent="0.25">
      <c r="A443">
        <v>2010107612</v>
      </c>
      <c r="B443" t="s">
        <v>28</v>
      </c>
      <c r="C443" t="s">
        <v>29</v>
      </c>
      <c r="D443" t="s">
        <v>1099</v>
      </c>
      <c r="E443" t="s">
        <v>1100</v>
      </c>
      <c r="F443" t="e">
        <f>--ds-btn-radius-light-gap</f>
        <v>#NAME?</v>
      </c>
      <c r="G443" t="s">
        <v>847</v>
      </c>
      <c r="H443" t="s">
        <v>847</v>
      </c>
      <c r="I443" t="s">
        <v>32</v>
      </c>
      <c r="J443" t="s">
        <v>844</v>
      </c>
      <c r="K443" t="s">
        <v>74</v>
      </c>
      <c r="L443" t="s">
        <v>226</v>
      </c>
      <c r="M443" t="s">
        <v>87</v>
      </c>
      <c r="N443" t="s">
        <v>1075</v>
      </c>
      <c r="O443">
        <v>1</v>
      </c>
      <c r="P443">
        <v>0</v>
      </c>
      <c r="Q443">
        <v>13</v>
      </c>
      <c r="R443" s="1">
        <v>46182.068437499998</v>
      </c>
      <c r="S443" s="1">
        <v>46205.863240740742</v>
      </c>
    </row>
    <row r="444" spans="1:19" x14ac:dyDescent="0.25">
      <c r="A444">
        <v>2010107613</v>
      </c>
      <c r="B444" t="s">
        <v>28</v>
      </c>
      <c r="C444" t="s">
        <v>29</v>
      </c>
      <c r="D444" t="s">
        <v>1101</v>
      </c>
      <c r="E444" t="s">
        <v>1102</v>
      </c>
      <c r="F444" t="e">
        <f>--ds-btn-radius-light-icon-size</f>
        <v>#NAME?</v>
      </c>
      <c r="G444" t="s">
        <v>843</v>
      </c>
      <c r="H444" t="s">
        <v>843</v>
      </c>
      <c r="I444" t="s">
        <v>32</v>
      </c>
      <c r="J444" t="s">
        <v>844</v>
      </c>
      <c r="K444" t="s">
        <v>74</v>
      </c>
      <c r="L444" t="s">
        <v>226</v>
      </c>
      <c r="M444" t="s">
        <v>106</v>
      </c>
      <c r="N444" t="s">
        <v>1075</v>
      </c>
      <c r="O444">
        <v>1</v>
      </c>
      <c r="P444">
        <v>0</v>
      </c>
      <c r="Q444">
        <v>14</v>
      </c>
      <c r="R444" s="1">
        <v>46182.068437499998</v>
      </c>
      <c r="S444" s="1">
        <v>46205.863240740742</v>
      </c>
    </row>
    <row r="445" spans="1:19" x14ac:dyDescent="0.25">
      <c r="A445">
        <v>2010107614</v>
      </c>
      <c r="B445" t="s">
        <v>28</v>
      </c>
      <c r="C445" t="s">
        <v>29</v>
      </c>
      <c r="D445" t="s">
        <v>1103</v>
      </c>
      <c r="E445" t="s">
        <v>1104</v>
      </c>
      <c r="F445" t="e">
        <f>--ds-btn-radius-light-line-height</f>
        <v>#NAME?</v>
      </c>
      <c r="G445">
        <v>1.25</v>
      </c>
      <c r="H445">
        <v>1.25</v>
      </c>
      <c r="I445" t="s">
        <v>32</v>
      </c>
      <c r="J445" t="s">
        <v>844</v>
      </c>
      <c r="K445" t="s">
        <v>74</v>
      </c>
      <c r="L445" t="s">
        <v>226</v>
      </c>
      <c r="M445" t="s">
        <v>109</v>
      </c>
      <c r="N445" t="s">
        <v>1075</v>
      </c>
      <c r="O445">
        <v>1</v>
      </c>
      <c r="P445">
        <v>0</v>
      </c>
      <c r="Q445">
        <v>15</v>
      </c>
      <c r="R445" s="1">
        <v>46182.068437499998</v>
      </c>
      <c r="S445" s="1">
        <v>46205.863240740742</v>
      </c>
    </row>
    <row r="446" spans="1:19" x14ac:dyDescent="0.25">
      <c r="A446">
        <v>2010107615</v>
      </c>
      <c r="B446" t="s">
        <v>28</v>
      </c>
      <c r="C446" t="s">
        <v>29</v>
      </c>
      <c r="D446" t="s">
        <v>1105</v>
      </c>
      <c r="E446" t="s">
        <v>1106</v>
      </c>
      <c r="F446" t="e">
        <f>--ds-btn-radius-light-radius</f>
        <v>#NAME?</v>
      </c>
      <c r="G446" t="s">
        <v>856</v>
      </c>
      <c r="H446" t="s">
        <v>856</v>
      </c>
      <c r="I446" t="s">
        <v>32</v>
      </c>
      <c r="J446" t="s">
        <v>844</v>
      </c>
      <c r="K446" t="s">
        <v>74</v>
      </c>
      <c r="L446" t="s">
        <v>226</v>
      </c>
      <c r="M446" t="s">
        <v>74</v>
      </c>
      <c r="N446" t="s">
        <v>1075</v>
      </c>
      <c r="O446">
        <v>1</v>
      </c>
      <c r="P446">
        <v>0</v>
      </c>
      <c r="Q446">
        <v>16</v>
      </c>
      <c r="R446" s="1">
        <v>46182.068437499998</v>
      </c>
      <c r="S446" s="1">
        <v>46205.863240740742</v>
      </c>
    </row>
    <row r="447" spans="1:19" x14ac:dyDescent="0.25">
      <c r="A447">
        <v>2010107616</v>
      </c>
      <c r="B447" t="s">
        <v>28</v>
      </c>
      <c r="C447" t="s">
        <v>29</v>
      </c>
      <c r="D447" t="s">
        <v>1107</v>
      </c>
      <c r="E447" t="s">
        <v>1108</v>
      </c>
      <c r="F447" t="e">
        <f>--ds-btn-radius-light-shadow</f>
        <v>#NAME?</v>
      </c>
      <c r="G447" t="s">
        <v>94</v>
      </c>
      <c r="H447" t="s">
        <v>94</v>
      </c>
      <c r="I447" t="s">
        <v>32</v>
      </c>
      <c r="J447" t="s">
        <v>69</v>
      </c>
      <c r="K447" t="s">
        <v>74</v>
      </c>
      <c r="L447" t="s">
        <v>226</v>
      </c>
      <c r="M447" t="s">
        <v>70</v>
      </c>
      <c r="N447" t="s">
        <v>1075</v>
      </c>
      <c r="O447">
        <v>1</v>
      </c>
      <c r="P447">
        <v>0</v>
      </c>
      <c r="Q447">
        <v>17</v>
      </c>
      <c r="R447" s="1">
        <v>46182.068437499998</v>
      </c>
      <c r="S447" s="1">
        <v>46205.863240740742</v>
      </c>
    </row>
    <row r="448" spans="1:19" x14ac:dyDescent="0.25">
      <c r="A448">
        <v>2010107617</v>
      </c>
      <c r="B448" t="s">
        <v>28</v>
      </c>
      <c r="C448" t="s">
        <v>29</v>
      </c>
      <c r="D448" t="s">
        <v>1109</v>
      </c>
      <c r="E448" t="s">
        <v>1110</v>
      </c>
      <c r="F448" t="e">
        <f>--ds-btn-radius-light-focus-ring</f>
        <v>#NAME?</v>
      </c>
      <c r="G448" t="s">
        <v>1111</v>
      </c>
      <c r="H448" t="s">
        <v>1111</v>
      </c>
      <c r="I448" t="s">
        <v>32</v>
      </c>
      <c r="J448" t="s">
        <v>69</v>
      </c>
      <c r="K448" t="s">
        <v>74</v>
      </c>
      <c r="L448" t="s">
        <v>226</v>
      </c>
      <c r="M448" t="s">
        <v>91</v>
      </c>
      <c r="N448" t="s">
        <v>1075</v>
      </c>
      <c r="O448">
        <v>1</v>
      </c>
      <c r="P448">
        <v>0</v>
      </c>
      <c r="Q448">
        <v>18</v>
      </c>
      <c r="R448" s="1">
        <v>46182.068437499998</v>
      </c>
      <c r="S448" s="1">
        <v>46205.863240740742</v>
      </c>
    </row>
    <row r="449" spans="1:19" x14ac:dyDescent="0.25">
      <c r="A449">
        <v>2010107618</v>
      </c>
      <c r="B449" t="s">
        <v>28</v>
      </c>
      <c r="C449" t="s">
        <v>29</v>
      </c>
      <c r="D449" t="s">
        <v>1112</v>
      </c>
      <c r="E449" t="s">
        <v>1113</v>
      </c>
      <c r="F449" t="e">
        <f>--ds-btn-radius-light-transition</f>
        <v>#NAME?</v>
      </c>
      <c r="G449" t="s">
        <v>98</v>
      </c>
      <c r="H449" t="s">
        <v>98</v>
      </c>
      <c r="I449" t="s">
        <v>32</v>
      </c>
      <c r="J449" t="s">
        <v>69</v>
      </c>
      <c r="K449" t="s">
        <v>74</v>
      </c>
      <c r="L449" t="s">
        <v>226</v>
      </c>
      <c r="M449" t="s">
        <v>99</v>
      </c>
      <c r="N449" t="s">
        <v>1075</v>
      </c>
      <c r="O449">
        <v>1</v>
      </c>
      <c r="P449">
        <v>0</v>
      </c>
      <c r="Q449">
        <v>19</v>
      </c>
      <c r="R449" s="1">
        <v>46182.068437499998</v>
      </c>
      <c r="S449" s="1">
        <v>46205.863240740742</v>
      </c>
    </row>
    <row r="450" spans="1:19" x14ac:dyDescent="0.25">
      <c r="A450">
        <v>2010107700</v>
      </c>
      <c r="B450" t="s">
        <v>28</v>
      </c>
      <c r="C450" t="s">
        <v>29</v>
      </c>
      <c r="D450" t="s">
        <v>1114</v>
      </c>
      <c r="E450" t="s">
        <v>1115</v>
      </c>
      <c r="F450" t="e">
        <f>--ds-btn-radius-dark-bg</f>
        <v>#NAME?</v>
      </c>
      <c r="G450" t="s">
        <v>117</v>
      </c>
      <c r="H450" t="s">
        <v>117</v>
      </c>
      <c r="I450" t="s">
        <v>32</v>
      </c>
      <c r="J450" t="s">
        <v>24</v>
      </c>
      <c r="K450" t="s">
        <v>74</v>
      </c>
      <c r="L450" t="s">
        <v>248</v>
      </c>
      <c r="M450" t="s">
        <v>26</v>
      </c>
      <c r="N450" t="s">
        <v>1116</v>
      </c>
      <c r="O450">
        <v>1</v>
      </c>
      <c r="P450">
        <v>1</v>
      </c>
      <c r="Q450">
        <v>1</v>
      </c>
      <c r="R450" s="1">
        <v>46182.068564814814</v>
      </c>
      <c r="S450" s="1">
        <v>46205.863240740742</v>
      </c>
    </row>
    <row r="451" spans="1:19" x14ac:dyDescent="0.25">
      <c r="A451">
        <v>2010107701</v>
      </c>
      <c r="B451" t="s">
        <v>28</v>
      </c>
      <c r="C451" t="s">
        <v>29</v>
      </c>
      <c r="D451" t="s">
        <v>1117</v>
      </c>
      <c r="E451" t="s">
        <v>1118</v>
      </c>
      <c r="F451" t="e">
        <f>--ds-btn-radius-dark-text</f>
        <v>#NAME?</v>
      </c>
      <c r="G451" t="s">
        <v>37</v>
      </c>
      <c r="H451" t="s">
        <v>37</v>
      </c>
      <c r="I451" t="s">
        <v>32</v>
      </c>
      <c r="J451" t="s">
        <v>24</v>
      </c>
      <c r="K451" t="s">
        <v>74</v>
      </c>
      <c r="L451" t="s">
        <v>248</v>
      </c>
      <c r="M451" t="s">
        <v>38</v>
      </c>
      <c r="N451" t="s">
        <v>1116</v>
      </c>
      <c r="O451">
        <v>1</v>
      </c>
      <c r="P451">
        <v>1</v>
      </c>
      <c r="Q451">
        <v>2</v>
      </c>
      <c r="R451" s="1">
        <v>46182.068564814814</v>
      </c>
      <c r="S451" s="1">
        <v>46205.863240740742</v>
      </c>
    </row>
    <row r="452" spans="1:19" x14ac:dyDescent="0.25">
      <c r="A452">
        <v>2010107702</v>
      </c>
      <c r="B452" t="s">
        <v>28</v>
      </c>
      <c r="C452" t="s">
        <v>29</v>
      </c>
      <c r="D452" t="s">
        <v>1119</v>
      </c>
      <c r="E452" t="s">
        <v>1120</v>
      </c>
      <c r="F452" t="e">
        <f>--ds-btn-radius-dark-border</f>
        <v>#NAME?</v>
      </c>
      <c r="G452" t="s">
        <v>256</v>
      </c>
      <c r="H452" t="s">
        <v>256</v>
      </c>
      <c r="I452" t="s">
        <v>32</v>
      </c>
      <c r="J452" t="s">
        <v>24</v>
      </c>
      <c r="K452" t="s">
        <v>74</v>
      </c>
      <c r="L452" t="s">
        <v>248</v>
      </c>
      <c r="M452" t="s">
        <v>42</v>
      </c>
      <c r="N452" t="s">
        <v>1116</v>
      </c>
      <c r="O452">
        <v>1</v>
      </c>
      <c r="P452">
        <v>1</v>
      </c>
      <c r="Q452">
        <v>3</v>
      </c>
      <c r="R452" s="1">
        <v>46182.068564814814</v>
      </c>
      <c r="S452" s="1">
        <v>46205.863240740742</v>
      </c>
    </row>
    <row r="453" spans="1:19" x14ac:dyDescent="0.25">
      <c r="A453">
        <v>2010107703</v>
      </c>
      <c r="B453" t="s">
        <v>28</v>
      </c>
      <c r="C453" t="s">
        <v>29</v>
      </c>
      <c r="D453" t="s">
        <v>1121</v>
      </c>
      <c r="E453" t="s">
        <v>1122</v>
      </c>
      <c r="F453" t="e">
        <f>--ds-btn-radius-dark-hover-bg</f>
        <v>#NAME?</v>
      </c>
      <c r="G453" t="s">
        <v>256</v>
      </c>
      <c r="H453" t="s">
        <v>256</v>
      </c>
      <c r="I453" t="s">
        <v>32</v>
      </c>
      <c r="J453" t="s">
        <v>24</v>
      </c>
      <c r="K453" t="s">
        <v>74</v>
      </c>
      <c r="L453" t="s">
        <v>248</v>
      </c>
      <c r="M453" t="s">
        <v>46</v>
      </c>
      <c r="N453" t="s">
        <v>1116</v>
      </c>
      <c r="O453">
        <v>1</v>
      </c>
      <c r="P453">
        <v>1</v>
      </c>
      <c r="Q453">
        <v>4</v>
      </c>
      <c r="R453" s="1">
        <v>46182.068564814814</v>
      </c>
      <c r="S453" s="1">
        <v>46205.863240740742</v>
      </c>
    </row>
    <row r="454" spans="1:19" x14ac:dyDescent="0.25">
      <c r="A454">
        <v>2010107704</v>
      </c>
      <c r="B454" t="s">
        <v>28</v>
      </c>
      <c r="C454" t="s">
        <v>29</v>
      </c>
      <c r="D454" t="s">
        <v>1123</v>
      </c>
      <c r="E454" t="s">
        <v>1124</v>
      </c>
      <c r="F454" t="e">
        <f>--ds-btn-radius-dark-hover-text</f>
        <v>#NAME?</v>
      </c>
      <c r="G454" t="s">
        <v>37</v>
      </c>
      <c r="H454" t="s">
        <v>37</v>
      </c>
      <c r="I454" t="s">
        <v>32</v>
      </c>
      <c r="J454" t="s">
        <v>24</v>
      </c>
      <c r="K454" t="s">
        <v>74</v>
      </c>
      <c r="L454" t="s">
        <v>248</v>
      </c>
      <c r="M454" t="s">
        <v>49</v>
      </c>
      <c r="N454" t="s">
        <v>1116</v>
      </c>
      <c r="O454">
        <v>1</v>
      </c>
      <c r="P454">
        <v>1</v>
      </c>
      <c r="Q454">
        <v>5</v>
      </c>
      <c r="R454" s="1">
        <v>46182.068564814814</v>
      </c>
      <c r="S454" s="1">
        <v>46205.863240740742</v>
      </c>
    </row>
    <row r="455" spans="1:19" x14ac:dyDescent="0.25">
      <c r="A455">
        <v>2010107705</v>
      </c>
      <c r="B455" t="s">
        <v>28</v>
      </c>
      <c r="C455" t="s">
        <v>29</v>
      </c>
      <c r="D455" t="s">
        <v>1125</v>
      </c>
      <c r="E455" t="s">
        <v>1126</v>
      </c>
      <c r="F455" t="e">
        <f>--ds-btn-radius-dark-hover-border</f>
        <v>#NAME?</v>
      </c>
      <c r="G455" t="s">
        <v>1127</v>
      </c>
      <c r="H455" t="s">
        <v>1127</v>
      </c>
      <c r="I455" t="s">
        <v>32</v>
      </c>
      <c r="J455" t="s">
        <v>24</v>
      </c>
      <c r="K455" t="s">
        <v>74</v>
      </c>
      <c r="L455" t="s">
        <v>248</v>
      </c>
      <c r="M455" t="s">
        <v>53</v>
      </c>
      <c r="N455" t="s">
        <v>1116</v>
      </c>
      <c r="O455">
        <v>1</v>
      </c>
      <c r="P455">
        <v>1</v>
      </c>
      <c r="Q455">
        <v>6</v>
      </c>
      <c r="R455" s="1">
        <v>46182.068564814814</v>
      </c>
      <c r="S455" s="1">
        <v>46205.863240740742</v>
      </c>
    </row>
    <row r="456" spans="1:19" x14ac:dyDescent="0.25">
      <c r="A456">
        <v>2010107706</v>
      </c>
      <c r="B456" t="s">
        <v>28</v>
      </c>
      <c r="C456" t="s">
        <v>29</v>
      </c>
      <c r="D456" t="s">
        <v>1128</v>
      </c>
      <c r="E456" t="s">
        <v>1129</v>
      </c>
      <c r="F456" t="e">
        <f>--ds-btn-radius-dark-disabled-bg</f>
        <v>#NAME?</v>
      </c>
      <c r="G456" t="s">
        <v>1130</v>
      </c>
      <c r="H456" t="s">
        <v>1130</v>
      </c>
      <c r="I456" t="s">
        <v>32</v>
      </c>
      <c r="J456" t="s">
        <v>24</v>
      </c>
      <c r="K456" t="s">
        <v>74</v>
      </c>
      <c r="L456" t="s">
        <v>248</v>
      </c>
      <c r="M456" t="s">
        <v>57</v>
      </c>
      <c r="N456" t="s">
        <v>1116</v>
      </c>
      <c r="O456">
        <v>1</v>
      </c>
      <c r="P456">
        <v>1</v>
      </c>
      <c r="Q456">
        <v>7</v>
      </c>
      <c r="R456" s="1">
        <v>46182.068564814814</v>
      </c>
      <c r="S456" s="1">
        <v>46205.863240740742</v>
      </c>
    </row>
    <row r="457" spans="1:19" x14ac:dyDescent="0.25">
      <c r="A457">
        <v>2010107707</v>
      </c>
      <c r="B457" t="s">
        <v>28</v>
      </c>
      <c r="C457" t="s">
        <v>29</v>
      </c>
      <c r="D457" t="s">
        <v>1131</v>
      </c>
      <c r="E457" t="s">
        <v>1132</v>
      </c>
      <c r="F457" t="e">
        <f>--ds-btn-radius-dark-disabled-text</f>
        <v>#NAME?</v>
      </c>
      <c r="G457" t="s">
        <v>60</v>
      </c>
      <c r="H457" t="s">
        <v>60</v>
      </c>
      <c r="I457" t="s">
        <v>32</v>
      </c>
      <c r="J457" t="s">
        <v>24</v>
      </c>
      <c r="K457" t="s">
        <v>74</v>
      </c>
      <c r="L457" t="s">
        <v>248</v>
      </c>
      <c r="M457" t="s">
        <v>61</v>
      </c>
      <c r="N457" t="s">
        <v>1116</v>
      </c>
      <c r="O457">
        <v>1</v>
      </c>
      <c r="P457">
        <v>1</v>
      </c>
      <c r="Q457">
        <v>8</v>
      </c>
      <c r="R457" s="1">
        <v>46182.068564814814</v>
      </c>
      <c r="S457" s="1">
        <v>46205.863240740742</v>
      </c>
    </row>
    <row r="458" spans="1:19" x14ac:dyDescent="0.25">
      <c r="A458">
        <v>2010107708</v>
      </c>
      <c r="B458" t="s">
        <v>28</v>
      </c>
      <c r="C458" t="s">
        <v>29</v>
      </c>
      <c r="D458" t="s">
        <v>1133</v>
      </c>
      <c r="E458" t="s">
        <v>1134</v>
      </c>
      <c r="F458" t="e">
        <f>--ds-btn-radius-dark-disabled-border</f>
        <v>#NAME?</v>
      </c>
      <c r="G458" t="s">
        <v>1135</v>
      </c>
      <c r="H458" t="s">
        <v>1135</v>
      </c>
      <c r="I458" t="s">
        <v>32</v>
      </c>
      <c r="J458" t="s">
        <v>24</v>
      </c>
      <c r="K458" t="s">
        <v>74</v>
      </c>
      <c r="L458" t="s">
        <v>248</v>
      </c>
      <c r="M458" t="s">
        <v>65</v>
      </c>
      <c r="N458" t="s">
        <v>1116</v>
      </c>
      <c r="O458">
        <v>1</v>
      </c>
      <c r="P458">
        <v>1</v>
      </c>
      <c r="Q458">
        <v>9</v>
      </c>
      <c r="R458" s="1">
        <v>46182.068564814814</v>
      </c>
      <c r="S458" s="1">
        <v>46205.863240740742</v>
      </c>
    </row>
    <row r="459" spans="1:19" x14ac:dyDescent="0.25">
      <c r="A459">
        <v>2010107709</v>
      </c>
      <c r="B459" t="s">
        <v>28</v>
      </c>
      <c r="C459" t="s">
        <v>29</v>
      </c>
      <c r="D459" t="s">
        <v>1136</v>
      </c>
      <c r="E459" t="s">
        <v>1137</v>
      </c>
      <c r="F459" t="e">
        <f>--ds-btn-radius-dark-icon-color</f>
        <v>#NAME?</v>
      </c>
      <c r="G459" t="s">
        <v>37</v>
      </c>
      <c r="H459" t="s">
        <v>37</v>
      </c>
      <c r="I459" t="s">
        <v>32</v>
      </c>
      <c r="J459" t="s">
        <v>24</v>
      </c>
      <c r="K459" t="s">
        <v>74</v>
      </c>
      <c r="L459" t="s">
        <v>248</v>
      </c>
      <c r="M459" t="s">
        <v>102</v>
      </c>
      <c r="N459" t="s">
        <v>1116</v>
      </c>
      <c r="O459">
        <v>1</v>
      </c>
      <c r="P459">
        <v>1</v>
      </c>
      <c r="Q459">
        <v>10</v>
      </c>
      <c r="R459" s="1">
        <v>46182.068564814814</v>
      </c>
      <c r="S459" s="1">
        <v>46205.863240740742</v>
      </c>
    </row>
    <row r="460" spans="1:19" x14ac:dyDescent="0.25">
      <c r="A460">
        <v>2010107710</v>
      </c>
      <c r="B460" t="s">
        <v>28</v>
      </c>
      <c r="C460" t="s">
        <v>29</v>
      </c>
      <c r="D460" t="s">
        <v>1138</v>
      </c>
      <c r="E460" t="s">
        <v>1139</v>
      </c>
      <c r="F460" t="e">
        <f>--ds-btn-radius-dark-padding-x</f>
        <v>#NAME?</v>
      </c>
      <c r="G460" t="s">
        <v>843</v>
      </c>
      <c r="H460" t="s">
        <v>843</v>
      </c>
      <c r="I460" t="s">
        <v>32</v>
      </c>
      <c r="J460" t="s">
        <v>844</v>
      </c>
      <c r="K460" t="s">
        <v>74</v>
      </c>
      <c r="L460" t="s">
        <v>248</v>
      </c>
      <c r="M460" t="s">
        <v>79</v>
      </c>
      <c r="N460" t="s">
        <v>1116</v>
      </c>
      <c r="O460">
        <v>1</v>
      </c>
      <c r="P460">
        <v>0</v>
      </c>
      <c r="Q460">
        <v>11</v>
      </c>
      <c r="R460" s="1">
        <v>46182.068564814814</v>
      </c>
      <c r="S460" s="1">
        <v>46205.863240740742</v>
      </c>
    </row>
    <row r="461" spans="1:19" x14ac:dyDescent="0.25">
      <c r="A461">
        <v>2010107711</v>
      </c>
      <c r="B461" t="s">
        <v>28</v>
      </c>
      <c r="C461" t="s">
        <v>29</v>
      </c>
      <c r="D461" t="s">
        <v>1140</v>
      </c>
      <c r="E461" t="s">
        <v>1141</v>
      </c>
      <c r="F461" t="e">
        <f>--ds-btn-radius-dark-padding-y</f>
        <v>#NAME?</v>
      </c>
      <c r="G461" t="s">
        <v>847</v>
      </c>
      <c r="H461" t="s">
        <v>847</v>
      </c>
      <c r="I461" t="s">
        <v>32</v>
      </c>
      <c r="J461" t="s">
        <v>844</v>
      </c>
      <c r="K461" t="s">
        <v>74</v>
      </c>
      <c r="L461" t="s">
        <v>248</v>
      </c>
      <c r="M461" t="s">
        <v>83</v>
      </c>
      <c r="N461" t="s">
        <v>1116</v>
      </c>
      <c r="O461">
        <v>1</v>
      </c>
      <c r="P461">
        <v>0</v>
      </c>
      <c r="Q461">
        <v>12</v>
      </c>
      <c r="R461" s="1">
        <v>46182.068564814814</v>
      </c>
      <c r="S461" s="1">
        <v>46205.863240740742</v>
      </c>
    </row>
    <row r="462" spans="1:19" x14ac:dyDescent="0.25">
      <c r="A462">
        <v>2010107712</v>
      </c>
      <c r="B462" t="s">
        <v>28</v>
      </c>
      <c r="C462" t="s">
        <v>29</v>
      </c>
      <c r="D462" t="s">
        <v>1142</v>
      </c>
      <c r="E462" t="s">
        <v>1143</v>
      </c>
      <c r="F462" t="e">
        <f>--ds-btn-radius-dark-gap</f>
        <v>#NAME?</v>
      </c>
      <c r="G462" t="s">
        <v>847</v>
      </c>
      <c r="H462" t="s">
        <v>847</v>
      </c>
      <c r="I462" t="s">
        <v>32</v>
      </c>
      <c r="J462" t="s">
        <v>844</v>
      </c>
      <c r="K462" t="s">
        <v>74</v>
      </c>
      <c r="L462" t="s">
        <v>248</v>
      </c>
      <c r="M462" t="s">
        <v>87</v>
      </c>
      <c r="N462" t="s">
        <v>1116</v>
      </c>
      <c r="O462">
        <v>1</v>
      </c>
      <c r="P462">
        <v>0</v>
      </c>
      <c r="Q462">
        <v>13</v>
      </c>
      <c r="R462" s="1">
        <v>46182.068564814814</v>
      </c>
      <c r="S462" s="1">
        <v>46205.863240740742</v>
      </c>
    </row>
    <row r="463" spans="1:19" x14ac:dyDescent="0.25">
      <c r="A463">
        <v>2010107713</v>
      </c>
      <c r="B463" t="s">
        <v>28</v>
      </c>
      <c r="C463" t="s">
        <v>29</v>
      </c>
      <c r="D463" t="s">
        <v>1144</v>
      </c>
      <c r="E463" t="s">
        <v>1145</v>
      </c>
      <c r="F463" t="e">
        <f>--ds-btn-radius-dark-icon-size</f>
        <v>#NAME?</v>
      </c>
      <c r="G463" t="s">
        <v>843</v>
      </c>
      <c r="H463" t="s">
        <v>843</v>
      </c>
      <c r="I463" t="s">
        <v>32</v>
      </c>
      <c r="J463" t="s">
        <v>844</v>
      </c>
      <c r="K463" t="s">
        <v>74</v>
      </c>
      <c r="L463" t="s">
        <v>248</v>
      </c>
      <c r="M463" t="s">
        <v>106</v>
      </c>
      <c r="N463" t="s">
        <v>1116</v>
      </c>
      <c r="O463">
        <v>1</v>
      </c>
      <c r="P463">
        <v>0</v>
      </c>
      <c r="Q463">
        <v>14</v>
      </c>
      <c r="R463" s="1">
        <v>46182.068564814814</v>
      </c>
      <c r="S463" s="1">
        <v>46205.863240740742</v>
      </c>
    </row>
    <row r="464" spans="1:19" x14ac:dyDescent="0.25">
      <c r="A464">
        <v>2010107714</v>
      </c>
      <c r="B464" t="s">
        <v>28</v>
      </c>
      <c r="C464" t="s">
        <v>29</v>
      </c>
      <c r="D464" t="s">
        <v>1146</v>
      </c>
      <c r="E464" t="s">
        <v>1147</v>
      </c>
      <c r="F464" t="e">
        <f>--ds-btn-radius-dark-line-height</f>
        <v>#NAME?</v>
      </c>
      <c r="G464">
        <v>1.25</v>
      </c>
      <c r="H464">
        <v>1.25</v>
      </c>
      <c r="I464" t="s">
        <v>32</v>
      </c>
      <c r="J464" t="s">
        <v>844</v>
      </c>
      <c r="K464" t="s">
        <v>74</v>
      </c>
      <c r="L464" t="s">
        <v>248</v>
      </c>
      <c r="M464" t="s">
        <v>109</v>
      </c>
      <c r="N464" t="s">
        <v>1116</v>
      </c>
      <c r="O464">
        <v>1</v>
      </c>
      <c r="P464">
        <v>0</v>
      </c>
      <c r="Q464">
        <v>15</v>
      </c>
      <c r="R464" s="1">
        <v>46182.068564814814</v>
      </c>
      <c r="S464" s="1">
        <v>46205.863240740742</v>
      </c>
    </row>
    <row r="465" spans="1:19" x14ac:dyDescent="0.25">
      <c r="A465">
        <v>2010107715</v>
      </c>
      <c r="B465" t="s">
        <v>28</v>
      </c>
      <c r="C465" t="s">
        <v>29</v>
      </c>
      <c r="D465" t="s">
        <v>1148</v>
      </c>
      <c r="E465" t="s">
        <v>1149</v>
      </c>
      <c r="F465" t="e">
        <f>--ds-btn-radius-dark-radius</f>
        <v>#NAME?</v>
      </c>
      <c r="G465" t="s">
        <v>856</v>
      </c>
      <c r="H465" t="s">
        <v>856</v>
      </c>
      <c r="I465" t="s">
        <v>32</v>
      </c>
      <c r="J465" t="s">
        <v>844</v>
      </c>
      <c r="K465" t="s">
        <v>74</v>
      </c>
      <c r="L465" t="s">
        <v>248</v>
      </c>
      <c r="M465" t="s">
        <v>74</v>
      </c>
      <c r="N465" t="s">
        <v>1116</v>
      </c>
      <c r="O465">
        <v>1</v>
      </c>
      <c r="P465">
        <v>0</v>
      </c>
      <c r="Q465">
        <v>16</v>
      </c>
      <c r="R465" s="1">
        <v>46182.068564814814</v>
      </c>
      <c r="S465" s="1">
        <v>46205.863240740742</v>
      </c>
    </row>
    <row r="466" spans="1:19" x14ac:dyDescent="0.25">
      <c r="A466">
        <v>2010107716</v>
      </c>
      <c r="B466" t="s">
        <v>28</v>
      </c>
      <c r="C466" t="s">
        <v>29</v>
      </c>
      <c r="D466" t="s">
        <v>1150</v>
      </c>
      <c r="E466" t="s">
        <v>1151</v>
      </c>
      <c r="F466" t="e">
        <f>--ds-btn-radius-dark-shadow</f>
        <v>#NAME?</v>
      </c>
      <c r="G466" t="s">
        <v>94</v>
      </c>
      <c r="H466" t="s">
        <v>94</v>
      </c>
      <c r="I466" t="s">
        <v>32</v>
      </c>
      <c r="J466" t="s">
        <v>69</v>
      </c>
      <c r="K466" t="s">
        <v>74</v>
      </c>
      <c r="L466" t="s">
        <v>248</v>
      </c>
      <c r="M466" t="s">
        <v>70</v>
      </c>
      <c r="N466" t="s">
        <v>1116</v>
      </c>
      <c r="O466">
        <v>1</v>
      </c>
      <c r="P466">
        <v>0</v>
      </c>
      <c r="Q466">
        <v>17</v>
      </c>
      <c r="R466" s="1">
        <v>46182.068564814814</v>
      </c>
      <c r="S466" s="1">
        <v>46205.863240740742</v>
      </c>
    </row>
    <row r="467" spans="1:19" x14ac:dyDescent="0.25">
      <c r="A467">
        <v>2010107717</v>
      </c>
      <c r="B467" t="s">
        <v>28</v>
      </c>
      <c r="C467" t="s">
        <v>29</v>
      </c>
      <c r="D467" t="s">
        <v>1152</v>
      </c>
      <c r="E467" t="s">
        <v>1153</v>
      </c>
      <c r="F467" t="e">
        <f>--ds-btn-radius-dark-focus-ring</f>
        <v>#NAME?</v>
      </c>
      <c r="G467" t="s">
        <v>1154</v>
      </c>
      <c r="H467" t="s">
        <v>1154</v>
      </c>
      <c r="I467" t="s">
        <v>32</v>
      </c>
      <c r="J467" t="s">
        <v>69</v>
      </c>
      <c r="K467" t="s">
        <v>74</v>
      </c>
      <c r="L467" t="s">
        <v>248</v>
      </c>
      <c r="M467" t="s">
        <v>91</v>
      </c>
      <c r="N467" t="s">
        <v>1116</v>
      </c>
      <c r="O467">
        <v>1</v>
      </c>
      <c r="P467">
        <v>0</v>
      </c>
      <c r="Q467">
        <v>18</v>
      </c>
      <c r="R467" s="1">
        <v>46182.068564814814</v>
      </c>
      <c r="S467" s="1">
        <v>46205.863240740742</v>
      </c>
    </row>
    <row r="468" spans="1:19" x14ac:dyDescent="0.25">
      <c r="A468">
        <v>2010107718</v>
      </c>
      <c r="B468" t="s">
        <v>28</v>
      </c>
      <c r="C468" t="s">
        <v>29</v>
      </c>
      <c r="D468" t="s">
        <v>1155</v>
      </c>
      <c r="E468" t="s">
        <v>1156</v>
      </c>
      <c r="F468" t="e">
        <f>--ds-btn-radius-dark-transition</f>
        <v>#NAME?</v>
      </c>
      <c r="G468" t="s">
        <v>98</v>
      </c>
      <c r="H468" t="s">
        <v>98</v>
      </c>
      <c r="I468" t="s">
        <v>32</v>
      </c>
      <c r="J468" t="s">
        <v>69</v>
      </c>
      <c r="K468" t="s">
        <v>74</v>
      </c>
      <c r="L468" t="s">
        <v>248</v>
      </c>
      <c r="M468" t="s">
        <v>99</v>
      </c>
      <c r="N468" t="s">
        <v>1116</v>
      </c>
      <c r="O468">
        <v>1</v>
      </c>
      <c r="P468">
        <v>0</v>
      </c>
      <c r="Q468">
        <v>19</v>
      </c>
      <c r="R468" s="1">
        <v>46182.068564814814</v>
      </c>
      <c r="S468" s="1">
        <v>46205.863240740742</v>
      </c>
    </row>
    <row r="469" spans="1:19" x14ac:dyDescent="0.25">
      <c r="A469">
        <v>2010108000</v>
      </c>
      <c r="B469" t="s">
        <v>28</v>
      </c>
      <c r="C469" t="s">
        <v>29</v>
      </c>
      <c r="D469" t="s">
        <v>1157</v>
      </c>
      <c r="E469" t="s">
        <v>1158</v>
      </c>
      <c r="F469" t="e">
        <f>--ds-btn-active-primary-bg</f>
        <v>#NAME?</v>
      </c>
      <c r="G469" t="s">
        <v>23</v>
      </c>
      <c r="H469" t="s">
        <v>23</v>
      </c>
      <c r="I469" t="s">
        <v>32</v>
      </c>
      <c r="J469" t="s">
        <v>24</v>
      </c>
      <c r="K469" t="s">
        <v>1159</v>
      </c>
      <c r="L469" t="s">
        <v>25</v>
      </c>
      <c r="M469" t="s">
        <v>26</v>
      </c>
      <c r="N469" t="s">
        <v>1160</v>
      </c>
      <c r="O469">
        <v>1</v>
      </c>
      <c r="P469">
        <v>1</v>
      </c>
      <c r="Q469">
        <v>0</v>
      </c>
      <c r="R469" s="1">
        <v>46195.671284722222</v>
      </c>
      <c r="S469" s="1">
        <v>46205.869872685187</v>
      </c>
    </row>
    <row r="470" spans="1:19" x14ac:dyDescent="0.25">
      <c r="A470">
        <v>2010108001</v>
      </c>
      <c r="B470" t="s">
        <v>28</v>
      </c>
      <c r="C470" t="s">
        <v>29</v>
      </c>
      <c r="D470" t="s">
        <v>1161</v>
      </c>
      <c r="E470" t="s">
        <v>1162</v>
      </c>
      <c r="F470" t="e">
        <f>--ds-btn-active-primary-text</f>
        <v>#NAME?</v>
      </c>
      <c r="G470" t="s">
        <v>37</v>
      </c>
      <c r="H470" t="s">
        <v>37</v>
      </c>
      <c r="I470" t="s">
        <v>32</v>
      </c>
      <c r="J470" t="s">
        <v>24</v>
      </c>
      <c r="K470" t="s">
        <v>1159</v>
      </c>
      <c r="L470" t="s">
        <v>25</v>
      </c>
      <c r="M470" t="s">
        <v>38</v>
      </c>
      <c r="N470" t="s">
        <v>1160</v>
      </c>
      <c r="O470">
        <v>1</v>
      </c>
      <c r="P470">
        <v>1</v>
      </c>
      <c r="Q470">
        <v>0</v>
      </c>
      <c r="R470" s="1">
        <v>46195.671284722222</v>
      </c>
      <c r="S470" s="1">
        <v>46205.869872685187</v>
      </c>
    </row>
    <row r="471" spans="1:19" x14ac:dyDescent="0.25">
      <c r="A471">
        <v>2010108002</v>
      </c>
      <c r="B471" t="s">
        <v>28</v>
      </c>
      <c r="C471" t="s">
        <v>29</v>
      </c>
      <c r="D471" t="s">
        <v>1163</v>
      </c>
      <c r="E471" t="s">
        <v>1164</v>
      </c>
      <c r="F471" t="e">
        <f>--ds-btn-active-primary-border</f>
        <v>#NAME?</v>
      </c>
      <c r="G471" t="s">
        <v>41</v>
      </c>
      <c r="H471" t="s">
        <v>41</v>
      </c>
      <c r="I471" t="s">
        <v>32</v>
      </c>
      <c r="J471" t="s">
        <v>24</v>
      </c>
      <c r="K471" t="s">
        <v>1159</v>
      </c>
      <c r="L471" t="s">
        <v>25</v>
      </c>
      <c r="M471" t="s">
        <v>42</v>
      </c>
      <c r="N471" t="s">
        <v>1160</v>
      </c>
      <c r="O471">
        <v>1</v>
      </c>
      <c r="P471">
        <v>1</v>
      </c>
      <c r="Q471">
        <v>0</v>
      </c>
      <c r="R471" s="1">
        <v>46195.671284722222</v>
      </c>
      <c r="S471" s="1">
        <v>46205.869872685187</v>
      </c>
    </row>
    <row r="472" spans="1:19" x14ac:dyDescent="0.25">
      <c r="A472">
        <v>2010108003</v>
      </c>
      <c r="B472" t="s">
        <v>28</v>
      </c>
      <c r="C472" t="s">
        <v>29</v>
      </c>
      <c r="D472" t="s">
        <v>1165</v>
      </c>
      <c r="E472" t="s">
        <v>1166</v>
      </c>
      <c r="F472" t="e">
        <f>--ds-btn-active-primary-hover-bg</f>
        <v>#NAME?</v>
      </c>
      <c r="G472" t="s">
        <v>45</v>
      </c>
      <c r="H472" t="s">
        <v>45</v>
      </c>
      <c r="I472" t="s">
        <v>32</v>
      </c>
      <c r="J472" t="s">
        <v>24</v>
      </c>
      <c r="K472" t="s">
        <v>1159</v>
      </c>
      <c r="L472" t="s">
        <v>25</v>
      </c>
      <c r="M472" t="s">
        <v>46</v>
      </c>
      <c r="N472" t="s">
        <v>1160</v>
      </c>
      <c r="O472">
        <v>1</v>
      </c>
      <c r="P472">
        <v>1</v>
      </c>
      <c r="Q472">
        <v>0</v>
      </c>
      <c r="R472" s="1">
        <v>46195.671284722222</v>
      </c>
      <c r="S472" s="1">
        <v>46205.869872685187</v>
      </c>
    </row>
    <row r="473" spans="1:19" x14ac:dyDescent="0.25">
      <c r="A473">
        <v>2010108004</v>
      </c>
      <c r="B473" t="s">
        <v>28</v>
      </c>
      <c r="C473" t="s">
        <v>29</v>
      </c>
      <c r="D473" t="s">
        <v>1167</v>
      </c>
      <c r="E473" t="s">
        <v>1168</v>
      </c>
      <c r="F473" t="e">
        <f>--ds-btn-active-primary-hover-text</f>
        <v>#NAME?</v>
      </c>
      <c r="G473" t="s">
        <v>37</v>
      </c>
      <c r="H473" t="s">
        <v>37</v>
      </c>
      <c r="I473" t="s">
        <v>32</v>
      </c>
      <c r="J473" t="s">
        <v>24</v>
      </c>
      <c r="K473" t="s">
        <v>1159</v>
      </c>
      <c r="L473" t="s">
        <v>25</v>
      </c>
      <c r="M473" t="s">
        <v>49</v>
      </c>
      <c r="N473" t="s">
        <v>1160</v>
      </c>
      <c r="O473">
        <v>1</v>
      </c>
      <c r="P473">
        <v>1</v>
      </c>
      <c r="Q473">
        <v>0</v>
      </c>
      <c r="R473" s="1">
        <v>46195.671284722222</v>
      </c>
      <c r="S473" s="1">
        <v>46205.869872685187</v>
      </c>
    </row>
    <row r="474" spans="1:19" x14ac:dyDescent="0.25">
      <c r="A474">
        <v>2010108005</v>
      </c>
      <c r="B474" t="s">
        <v>28</v>
      </c>
      <c r="C474" t="s">
        <v>29</v>
      </c>
      <c r="D474" t="s">
        <v>1169</v>
      </c>
      <c r="E474" t="s">
        <v>1170</v>
      </c>
      <c r="F474" t="e">
        <f>--ds-btn-active-primary-hover-border</f>
        <v>#NAME?</v>
      </c>
      <c r="G474" t="s">
        <v>52</v>
      </c>
      <c r="H474" t="s">
        <v>52</v>
      </c>
      <c r="I474" t="s">
        <v>32</v>
      </c>
      <c r="J474" t="s">
        <v>24</v>
      </c>
      <c r="K474" t="s">
        <v>1159</v>
      </c>
      <c r="L474" t="s">
        <v>25</v>
      </c>
      <c r="M474" t="s">
        <v>53</v>
      </c>
      <c r="N474" t="s">
        <v>1160</v>
      </c>
      <c r="O474">
        <v>1</v>
      </c>
      <c r="P474">
        <v>1</v>
      </c>
      <c r="Q474">
        <v>0</v>
      </c>
      <c r="R474" s="1">
        <v>46195.671284722222</v>
      </c>
      <c r="S474" s="1">
        <v>46205.869872685187</v>
      </c>
    </row>
    <row r="475" spans="1:19" x14ac:dyDescent="0.25">
      <c r="A475">
        <v>2010108006</v>
      </c>
      <c r="B475" t="s">
        <v>28</v>
      </c>
      <c r="C475" t="s">
        <v>29</v>
      </c>
      <c r="D475" t="s">
        <v>1171</v>
      </c>
      <c r="E475" t="s">
        <v>1172</v>
      </c>
      <c r="F475" t="e">
        <f>--ds-btn-active-primary-disabled-bg</f>
        <v>#NAME?</v>
      </c>
      <c r="G475" t="s">
        <v>56</v>
      </c>
      <c r="H475" t="s">
        <v>56</v>
      </c>
      <c r="I475" t="s">
        <v>32</v>
      </c>
      <c r="J475" t="s">
        <v>24</v>
      </c>
      <c r="K475" t="s">
        <v>1159</v>
      </c>
      <c r="L475" t="s">
        <v>25</v>
      </c>
      <c r="M475" t="s">
        <v>57</v>
      </c>
      <c r="N475" t="s">
        <v>1160</v>
      </c>
      <c r="O475">
        <v>1</v>
      </c>
      <c r="P475">
        <v>1</v>
      </c>
      <c r="Q475">
        <v>0</v>
      </c>
      <c r="R475" s="1">
        <v>46195.671284722222</v>
      </c>
      <c r="S475" s="1">
        <v>46205.869872685187</v>
      </c>
    </row>
    <row r="476" spans="1:19" x14ac:dyDescent="0.25">
      <c r="A476">
        <v>2010108007</v>
      </c>
      <c r="B476" t="s">
        <v>28</v>
      </c>
      <c r="C476" t="s">
        <v>29</v>
      </c>
      <c r="D476" t="s">
        <v>1173</v>
      </c>
      <c r="E476" t="s">
        <v>1174</v>
      </c>
      <c r="F476" t="e">
        <f>--ds-btn-active-primary-disabled-text</f>
        <v>#NAME?</v>
      </c>
      <c r="G476" t="s">
        <v>60</v>
      </c>
      <c r="H476" t="s">
        <v>60</v>
      </c>
      <c r="I476" t="s">
        <v>32</v>
      </c>
      <c r="J476" t="s">
        <v>24</v>
      </c>
      <c r="K476" t="s">
        <v>1159</v>
      </c>
      <c r="L476" t="s">
        <v>25</v>
      </c>
      <c r="M476" t="s">
        <v>61</v>
      </c>
      <c r="N476" t="s">
        <v>1160</v>
      </c>
      <c r="O476">
        <v>1</v>
      </c>
      <c r="P476">
        <v>1</v>
      </c>
      <c r="Q476">
        <v>0</v>
      </c>
      <c r="R476" s="1">
        <v>46195.671284722222</v>
      </c>
      <c r="S476" s="1">
        <v>46205.869872685187</v>
      </c>
    </row>
    <row r="477" spans="1:19" x14ac:dyDescent="0.25">
      <c r="A477">
        <v>2010108008</v>
      </c>
      <c r="B477" t="s">
        <v>28</v>
      </c>
      <c r="C477" t="s">
        <v>29</v>
      </c>
      <c r="D477" t="s">
        <v>1175</v>
      </c>
      <c r="E477" t="s">
        <v>1176</v>
      </c>
      <c r="F477" t="e">
        <f>--ds-btn-active-primary-disabled-border</f>
        <v>#NAME?</v>
      </c>
      <c r="G477" t="s">
        <v>64</v>
      </c>
      <c r="H477" t="s">
        <v>64</v>
      </c>
      <c r="I477" t="s">
        <v>32</v>
      </c>
      <c r="J477" t="s">
        <v>24</v>
      </c>
      <c r="K477" t="s">
        <v>1159</v>
      </c>
      <c r="L477" t="s">
        <v>25</v>
      </c>
      <c r="M477" t="s">
        <v>65</v>
      </c>
      <c r="N477" t="s">
        <v>1160</v>
      </c>
      <c r="O477">
        <v>1</v>
      </c>
      <c r="P477">
        <v>1</v>
      </c>
      <c r="Q477">
        <v>0</v>
      </c>
      <c r="R477" s="1">
        <v>46195.671284722222</v>
      </c>
      <c r="S477" s="1">
        <v>46205.869872685187</v>
      </c>
    </row>
    <row r="478" spans="1:19" x14ac:dyDescent="0.25">
      <c r="A478">
        <v>2010108009</v>
      </c>
      <c r="B478" t="s">
        <v>28</v>
      </c>
      <c r="C478" t="s">
        <v>29</v>
      </c>
      <c r="D478" t="s">
        <v>1177</v>
      </c>
      <c r="E478" t="s">
        <v>1178</v>
      </c>
      <c r="F478" t="e">
        <f>--ds-btn-active-primary-shadow</f>
        <v>#NAME?</v>
      </c>
      <c r="G478" t="s">
        <v>68</v>
      </c>
      <c r="H478" t="s">
        <v>68</v>
      </c>
      <c r="I478" t="s">
        <v>32</v>
      </c>
      <c r="J478" t="s">
        <v>69</v>
      </c>
      <c r="K478" t="s">
        <v>1159</v>
      </c>
      <c r="L478" t="s">
        <v>25</v>
      </c>
      <c r="M478" t="s">
        <v>70</v>
      </c>
      <c r="N478" t="s">
        <v>1160</v>
      </c>
      <c r="O478">
        <v>1</v>
      </c>
      <c r="P478">
        <v>0</v>
      </c>
      <c r="Q478">
        <v>0</v>
      </c>
      <c r="R478" s="1">
        <v>46195.671284722222</v>
      </c>
      <c r="S478" s="1">
        <v>46205.869872685187</v>
      </c>
    </row>
    <row r="479" spans="1:19" x14ac:dyDescent="0.25">
      <c r="A479">
        <v>2010108010</v>
      </c>
      <c r="B479" t="s">
        <v>28</v>
      </c>
      <c r="C479" t="s">
        <v>29</v>
      </c>
      <c r="D479" t="s">
        <v>1179</v>
      </c>
      <c r="E479" t="s">
        <v>1180</v>
      </c>
      <c r="F479" t="e">
        <f>--ds-btn-active-primary-radius</f>
        <v>#NAME?</v>
      </c>
      <c r="G479" t="s">
        <v>73</v>
      </c>
      <c r="H479" t="s">
        <v>73</v>
      </c>
      <c r="I479" t="s">
        <v>32</v>
      </c>
      <c r="J479" t="s">
        <v>69</v>
      </c>
      <c r="K479" t="s">
        <v>1159</v>
      </c>
      <c r="L479" t="s">
        <v>25</v>
      </c>
      <c r="M479" t="s">
        <v>74</v>
      </c>
      <c r="N479" t="s">
        <v>1160</v>
      </c>
      <c r="O479">
        <v>1</v>
      </c>
      <c r="P479">
        <v>0</v>
      </c>
      <c r="Q479">
        <v>0</v>
      </c>
      <c r="R479" s="1">
        <v>46195.671284722222</v>
      </c>
      <c r="S479" s="1">
        <v>46205.869872685187</v>
      </c>
    </row>
    <row r="480" spans="1:19" x14ac:dyDescent="0.25">
      <c r="A480">
        <v>2010108011</v>
      </c>
      <c r="B480" t="s">
        <v>28</v>
      </c>
      <c r="C480" t="s">
        <v>29</v>
      </c>
      <c r="D480" t="s">
        <v>1181</v>
      </c>
      <c r="E480" t="s">
        <v>1182</v>
      </c>
      <c r="F480" t="e">
        <f>--ds-btn-active-primary-padding-x</f>
        <v>#NAME?</v>
      </c>
      <c r="G480" t="s">
        <v>77</v>
      </c>
      <c r="H480" t="s">
        <v>77</v>
      </c>
      <c r="I480" t="s">
        <v>32</v>
      </c>
      <c r="J480" t="s">
        <v>78</v>
      </c>
      <c r="K480" t="s">
        <v>1159</v>
      </c>
      <c r="L480" t="s">
        <v>25</v>
      </c>
      <c r="M480" t="s">
        <v>79</v>
      </c>
      <c r="N480" t="s">
        <v>1160</v>
      </c>
      <c r="O480">
        <v>1</v>
      </c>
      <c r="P480">
        <v>0</v>
      </c>
      <c r="Q480">
        <v>0</v>
      </c>
      <c r="R480" s="1">
        <v>46195.671284722222</v>
      </c>
      <c r="S480" s="1">
        <v>46205.869872685187</v>
      </c>
    </row>
    <row r="481" spans="1:19" x14ac:dyDescent="0.25">
      <c r="A481">
        <v>2010108012</v>
      </c>
      <c r="B481" t="s">
        <v>28</v>
      </c>
      <c r="C481" t="s">
        <v>29</v>
      </c>
      <c r="D481" t="s">
        <v>1183</v>
      </c>
      <c r="E481" t="s">
        <v>1184</v>
      </c>
      <c r="F481" t="e">
        <f>--ds-btn-active-primary-padding-y</f>
        <v>#NAME?</v>
      </c>
      <c r="G481" t="s">
        <v>82</v>
      </c>
      <c r="H481" t="s">
        <v>82</v>
      </c>
      <c r="I481" t="s">
        <v>32</v>
      </c>
      <c r="J481" t="s">
        <v>78</v>
      </c>
      <c r="K481" t="s">
        <v>1159</v>
      </c>
      <c r="L481" t="s">
        <v>25</v>
      </c>
      <c r="M481" t="s">
        <v>83</v>
      </c>
      <c r="N481" t="s">
        <v>1160</v>
      </c>
      <c r="O481">
        <v>1</v>
      </c>
      <c r="P481">
        <v>0</v>
      </c>
      <c r="Q481">
        <v>0</v>
      </c>
      <c r="R481" s="1">
        <v>46195.671284722222</v>
      </c>
      <c r="S481" s="1">
        <v>46205.869872685187</v>
      </c>
    </row>
    <row r="482" spans="1:19" x14ac:dyDescent="0.25">
      <c r="A482">
        <v>2010108013</v>
      </c>
      <c r="B482" t="s">
        <v>28</v>
      </c>
      <c r="C482" t="s">
        <v>29</v>
      </c>
      <c r="D482" t="s">
        <v>1185</v>
      </c>
      <c r="E482" t="s">
        <v>1186</v>
      </c>
      <c r="F482" t="e">
        <f>--ds-btn-active-primary-gap</f>
        <v>#NAME?</v>
      </c>
      <c r="G482" t="s">
        <v>86</v>
      </c>
      <c r="H482" t="s">
        <v>86</v>
      </c>
      <c r="I482" t="s">
        <v>32</v>
      </c>
      <c r="J482" t="s">
        <v>78</v>
      </c>
      <c r="K482" t="s">
        <v>1159</v>
      </c>
      <c r="L482" t="s">
        <v>25</v>
      </c>
      <c r="M482" t="s">
        <v>87</v>
      </c>
      <c r="N482" t="s">
        <v>1160</v>
      </c>
      <c r="O482">
        <v>1</v>
      </c>
      <c r="P482">
        <v>0</v>
      </c>
      <c r="Q482">
        <v>0</v>
      </c>
      <c r="R482" s="1">
        <v>46195.671284722222</v>
      </c>
      <c r="S482" s="1">
        <v>46205.869872685187</v>
      </c>
    </row>
    <row r="483" spans="1:19" x14ac:dyDescent="0.25">
      <c r="A483">
        <v>2010108014</v>
      </c>
      <c r="B483" t="s">
        <v>28</v>
      </c>
      <c r="C483" t="s">
        <v>29</v>
      </c>
      <c r="D483" t="s">
        <v>1187</v>
      </c>
      <c r="E483" t="s">
        <v>1188</v>
      </c>
      <c r="F483" t="e">
        <f>--ds-btn-active-primary-focus-ring</f>
        <v>#NAME?</v>
      </c>
      <c r="G483" t="s">
        <v>90</v>
      </c>
      <c r="H483" t="s">
        <v>90</v>
      </c>
      <c r="I483" t="s">
        <v>32</v>
      </c>
      <c r="J483" t="s">
        <v>69</v>
      </c>
      <c r="K483" t="s">
        <v>1159</v>
      </c>
      <c r="L483" t="s">
        <v>25</v>
      </c>
      <c r="M483" t="s">
        <v>91</v>
      </c>
      <c r="N483" t="s">
        <v>1160</v>
      </c>
      <c r="O483">
        <v>1</v>
      </c>
      <c r="P483">
        <v>0</v>
      </c>
      <c r="Q483">
        <v>0</v>
      </c>
      <c r="R483" s="1">
        <v>46195.671284722222</v>
      </c>
      <c r="S483" s="1">
        <v>46205.869872685187</v>
      </c>
    </row>
    <row r="484" spans="1:19" x14ac:dyDescent="0.25">
      <c r="A484">
        <v>2010108015</v>
      </c>
      <c r="B484" t="s">
        <v>28</v>
      </c>
      <c r="C484" t="s">
        <v>29</v>
      </c>
      <c r="D484" t="s">
        <v>1189</v>
      </c>
      <c r="E484" t="s">
        <v>1190</v>
      </c>
      <c r="F484" t="e">
        <f>--ds-btn-active-primary-outline</f>
        <v>#NAME?</v>
      </c>
      <c r="G484" t="s">
        <v>94</v>
      </c>
      <c r="H484" t="s">
        <v>94</v>
      </c>
      <c r="I484" t="s">
        <v>32</v>
      </c>
      <c r="J484" t="s">
        <v>69</v>
      </c>
      <c r="K484" t="s">
        <v>1159</v>
      </c>
      <c r="L484" t="s">
        <v>25</v>
      </c>
      <c r="M484" t="s">
        <v>95</v>
      </c>
      <c r="N484" t="s">
        <v>1160</v>
      </c>
      <c r="O484">
        <v>1</v>
      </c>
      <c r="P484">
        <v>0</v>
      </c>
      <c r="Q484">
        <v>0</v>
      </c>
      <c r="R484" s="1">
        <v>46195.671284722222</v>
      </c>
      <c r="S484" s="1">
        <v>46205.869872685187</v>
      </c>
    </row>
    <row r="485" spans="1:19" x14ac:dyDescent="0.25">
      <c r="A485">
        <v>2010108016</v>
      </c>
      <c r="B485" t="s">
        <v>28</v>
      </c>
      <c r="C485" t="s">
        <v>29</v>
      </c>
      <c r="D485" t="s">
        <v>1191</v>
      </c>
      <c r="E485" t="s">
        <v>1192</v>
      </c>
      <c r="F485" t="e">
        <f>--ds-btn-active-primary-transition</f>
        <v>#NAME?</v>
      </c>
      <c r="G485" t="s">
        <v>98</v>
      </c>
      <c r="H485" t="s">
        <v>98</v>
      </c>
      <c r="I485" t="s">
        <v>32</v>
      </c>
      <c r="J485" t="s">
        <v>69</v>
      </c>
      <c r="K485" t="s">
        <v>1159</v>
      </c>
      <c r="L485" t="s">
        <v>25</v>
      </c>
      <c r="M485" t="s">
        <v>99</v>
      </c>
      <c r="N485" t="s">
        <v>1160</v>
      </c>
      <c r="O485">
        <v>1</v>
      </c>
      <c r="P485">
        <v>0</v>
      </c>
      <c r="Q485">
        <v>0</v>
      </c>
      <c r="R485" s="1">
        <v>46195.671284722222</v>
      </c>
      <c r="S485" s="1">
        <v>46205.869872685187</v>
      </c>
    </row>
    <row r="486" spans="1:19" x14ac:dyDescent="0.25">
      <c r="A486">
        <v>2010108017</v>
      </c>
      <c r="B486" t="s">
        <v>28</v>
      </c>
      <c r="C486" t="s">
        <v>29</v>
      </c>
      <c r="D486" t="s">
        <v>1193</v>
      </c>
      <c r="E486" t="s">
        <v>1194</v>
      </c>
      <c r="F486" t="e">
        <f>--ds-btn-active-primary-icon-color</f>
        <v>#NAME?</v>
      </c>
      <c r="G486" t="s">
        <v>37</v>
      </c>
      <c r="H486" t="s">
        <v>37</v>
      </c>
      <c r="I486" t="s">
        <v>32</v>
      </c>
      <c r="J486" t="s">
        <v>24</v>
      </c>
      <c r="K486" t="s">
        <v>1159</v>
      </c>
      <c r="L486" t="s">
        <v>25</v>
      </c>
      <c r="M486" t="s">
        <v>102</v>
      </c>
      <c r="N486" t="s">
        <v>1160</v>
      </c>
      <c r="O486">
        <v>1</v>
      </c>
      <c r="P486">
        <v>0</v>
      </c>
      <c r="Q486">
        <v>0</v>
      </c>
      <c r="R486" s="1">
        <v>46195.671284722222</v>
      </c>
      <c r="S486" s="1">
        <v>46205.869872685187</v>
      </c>
    </row>
    <row r="487" spans="1:19" x14ac:dyDescent="0.25">
      <c r="A487">
        <v>2010108018</v>
      </c>
      <c r="B487" t="s">
        <v>28</v>
      </c>
      <c r="C487" t="s">
        <v>29</v>
      </c>
      <c r="D487" t="s">
        <v>1195</v>
      </c>
      <c r="E487" t="s">
        <v>1196</v>
      </c>
      <c r="F487" t="e">
        <f>--ds-btn-active-primary-icon-size</f>
        <v>#NAME?</v>
      </c>
      <c r="G487" t="s">
        <v>105</v>
      </c>
      <c r="H487" t="s">
        <v>105</v>
      </c>
      <c r="I487" t="s">
        <v>32</v>
      </c>
      <c r="J487" t="s">
        <v>78</v>
      </c>
      <c r="K487" t="s">
        <v>1159</v>
      </c>
      <c r="L487" t="s">
        <v>25</v>
      </c>
      <c r="M487" t="s">
        <v>106</v>
      </c>
      <c r="N487" t="s">
        <v>1160</v>
      </c>
      <c r="O487">
        <v>1</v>
      </c>
      <c r="P487">
        <v>0</v>
      </c>
      <c r="Q487">
        <v>0</v>
      </c>
      <c r="R487" s="1">
        <v>46195.671284722222</v>
      </c>
      <c r="S487" s="1">
        <v>46205.869872685187</v>
      </c>
    </row>
    <row r="488" spans="1:19" x14ac:dyDescent="0.25">
      <c r="A488">
        <v>2010108019</v>
      </c>
      <c r="B488" t="s">
        <v>28</v>
      </c>
      <c r="C488" t="s">
        <v>29</v>
      </c>
      <c r="D488" t="s">
        <v>1197</v>
      </c>
      <c r="E488" t="s">
        <v>1198</v>
      </c>
      <c r="F488" t="e">
        <f>--ds-btn-active-primary-line-height</f>
        <v>#NAME?</v>
      </c>
      <c r="G488">
        <v>1.2</v>
      </c>
      <c r="H488">
        <v>1.2</v>
      </c>
      <c r="I488" t="s">
        <v>32</v>
      </c>
      <c r="J488" t="s">
        <v>78</v>
      </c>
      <c r="K488" t="s">
        <v>1159</v>
      </c>
      <c r="L488" t="s">
        <v>25</v>
      </c>
      <c r="M488" t="s">
        <v>109</v>
      </c>
      <c r="N488" t="s">
        <v>1160</v>
      </c>
      <c r="O488">
        <v>1</v>
      </c>
      <c r="P488">
        <v>0</v>
      </c>
      <c r="Q488">
        <v>0</v>
      </c>
      <c r="R488" s="1">
        <v>46195.671284722222</v>
      </c>
      <c r="S488" s="1">
        <v>46205.869872685187</v>
      </c>
    </row>
    <row r="489" spans="1:19" x14ac:dyDescent="0.25">
      <c r="A489">
        <v>2010108100</v>
      </c>
      <c r="B489" t="s">
        <v>28</v>
      </c>
      <c r="C489" t="s">
        <v>29</v>
      </c>
      <c r="D489" t="s">
        <v>1199</v>
      </c>
      <c r="E489" t="s">
        <v>1200</v>
      </c>
      <c r="F489" t="e">
        <f>--ds-btn-active-secondary-bg</f>
        <v>#NAME?</v>
      </c>
      <c r="G489" t="s">
        <v>60</v>
      </c>
      <c r="H489" t="s">
        <v>60</v>
      </c>
      <c r="I489" t="s">
        <v>32</v>
      </c>
      <c r="J489" t="s">
        <v>24</v>
      </c>
      <c r="K489" t="s">
        <v>1159</v>
      </c>
      <c r="L489" t="s">
        <v>113</v>
      </c>
      <c r="M489" t="s">
        <v>26</v>
      </c>
      <c r="N489" t="s">
        <v>1201</v>
      </c>
      <c r="O489">
        <v>1</v>
      </c>
      <c r="P489">
        <v>1</v>
      </c>
      <c r="Q489">
        <v>0</v>
      </c>
      <c r="R489" s="1">
        <v>46195.671805555554</v>
      </c>
      <c r="S489" s="1">
        <v>46205.869872685187</v>
      </c>
    </row>
    <row r="490" spans="1:19" x14ac:dyDescent="0.25">
      <c r="A490">
        <v>2010108101</v>
      </c>
      <c r="B490" t="s">
        <v>28</v>
      </c>
      <c r="C490" t="s">
        <v>29</v>
      </c>
      <c r="D490" t="s">
        <v>1202</v>
      </c>
      <c r="E490" t="s">
        <v>1203</v>
      </c>
      <c r="F490" t="e">
        <f>--ds-btn-active-secondary-text</f>
        <v>#NAME?</v>
      </c>
      <c r="G490" t="s">
        <v>37</v>
      </c>
      <c r="H490" t="s">
        <v>37</v>
      </c>
      <c r="I490" t="s">
        <v>32</v>
      </c>
      <c r="J490" t="s">
        <v>24</v>
      </c>
      <c r="K490" t="s">
        <v>1159</v>
      </c>
      <c r="L490" t="s">
        <v>113</v>
      </c>
      <c r="M490" t="s">
        <v>38</v>
      </c>
      <c r="N490" t="s">
        <v>1201</v>
      </c>
      <c r="O490">
        <v>1</v>
      </c>
      <c r="P490">
        <v>1</v>
      </c>
      <c r="Q490">
        <v>0</v>
      </c>
      <c r="R490" s="1">
        <v>46195.671805555554</v>
      </c>
      <c r="S490" s="1">
        <v>46205.869872685187</v>
      </c>
    </row>
    <row r="491" spans="1:19" x14ac:dyDescent="0.25">
      <c r="A491">
        <v>2010108102</v>
      </c>
      <c r="B491" t="s">
        <v>28</v>
      </c>
      <c r="C491" t="s">
        <v>29</v>
      </c>
      <c r="D491" t="s">
        <v>1204</v>
      </c>
      <c r="E491" t="s">
        <v>1205</v>
      </c>
      <c r="F491" t="e">
        <f>--ds-btn-active-secondary-border</f>
        <v>#NAME?</v>
      </c>
      <c r="G491" t="s">
        <v>60</v>
      </c>
      <c r="H491" t="s">
        <v>60</v>
      </c>
      <c r="I491" t="s">
        <v>32</v>
      </c>
      <c r="J491" t="s">
        <v>24</v>
      </c>
      <c r="K491" t="s">
        <v>1159</v>
      </c>
      <c r="L491" t="s">
        <v>113</v>
      </c>
      <c r="M491" t="s">
        <v>42</v>
      </c>
      <c r="N491" t="s">
        <v>1201</v>
      </c>
      <c r="O491">
        <v>1</v>
      </c>
      <c r="P491">
        <v>1</v>
      </c>
      <c r="Q491">
        <v>0</v>
      </c>
      <c r="R491" s="1">
        <v>46195.671805555554</v>
      </c>
      <c r="S491" s="1">
        <v>46205.869872685187</v>
      </c>
    </row>
    <row r="492" spans="1:19" x14ac:dyDescent="0.25">
      <c r="A492">
        <v>2010108103</v>
      </c>
      <c r="B492" t="s">
        <v>28</v>
      </c>
      <c r="C492" t="s">
        <v>29</v>
      </c>
      <c r="D492" t="s">
        <v>1206</v>
      </c>
      <c r="E492" t="s">
        <v>1207</v>
      </c>
      <c r="F492" t="e">
        <f>--ds-btn-active-secondary-hover-bg</f>
        <v>#NAME?</v>
      </c>
      <c r="G492" t="s">
        <v>874</v>
      </c>
      <c r="H492" t="s">
        <v>874</v>
      </c>
      <c r="I492" t="s">
        <v>32</v>
      </c>
      <c r="J492" t="s">
        <v>24</v>
      </c>
      <c r="K492" t="s">
        <v>1159</v>
      </c>
      <c r="L492" t="s">
        <v>113</v>
      </c>
      <c r="M492" t="s">
        <v>46</v>
      </c>
      <c r="N492" t="s">
        <v>1201</v>
      </c>
      <c r="O492">
        <v>1</v>
      </c>
      <c r="P492">
        <v>1</v>
      </c>
      <c r="Q492">
        <v>0</v>
      </c>
      <c r="R492" s="1">
        <v>46195.671805555554</v>
      </c>
      <c r="S492" s="1">
        <v>46205.869872685187</v>
      </c>
    </row>
    <row r="493" spans="1:19" x14ac:dyDescent="0.25">
      <c r="A493">
        <v>2010108104</v>
      </c>
      <c r="B493" t="s">
        <v>28</v>
      </c>
      <c r="C493" t="s">
        <v>29</v>
      </c>
      <c r="D493" t="s">
        <v>1208</v>
      </c>
      <c r="E493" t="s">
        <v>1209</v>
      </c>
      <c r="F493" t="e">
        <f>--ds-btn-active-secondary-hover-text</f>
        <v>#NAME?</v>
      </c>
      <c r="G493" t="s">
        <v>37</v>
      </c>
      <c r="H493" t="s">
        <v>37</v>
      </c>
      <c r="I493" t="s">
        <v>32</v>
      </c>
      <c r="J493" t="s">
        <v>24</v>
      </c>
      <c r="K493" t="s">
        <v>1159</v>
      </c>
      <c r="L493" t="s">
        <v>113</v>
      </c>
      <c r="M493" t="s">
        <v>49</v>
      </c>
      <c r="N493" t="s">
        <v>1201</v>
      </c>
      <c r="O493">
        <v>1</v>
      </c>
      <c r="P493">
        <v>1</v>
      </c>
      <c r="Q493">
        <v>0</v>
      </c>
      <c r="R493" s="1">
        <v>46195.671805555554</v>
      </c>
      <c r="S493" s="1">
        <v>46205.869872685187</v>
      </c>
    </row>
    <row r="494" spans="1:19" x14ac:dyDescent="0.25">
      <c r="A494">
        <v>2010108105</v>
      </c>
      <c r="B494" t="s">
        <v>28</v>
      </c>
      <c r="C494" t="s">
        <v>29</v>
      </c>
      <c r="D494" t="s">
        <v>1210</v>
      </c>
      <c r="E494" t="s">
        <v>1211</v>
      </c>
      <c r="F494" t="e">
        <f>--ds-btn-active-secondary-hover-border</f>
        <v>#NAME?</v>
      </c>
      <c r="G494" t="s">
        <v>871</v>
      </c>
      <c r="H494" t="s">
        <v>871</v>
      </c>
      <c r="I494" t="s">
        <v>32</v>
      </c>
      <c r="J494" t="s">
        <v>24</v>
      </c>
      <c r="K494" t="s">
        <v>1159</v>
      </c>
      <c r="L494" t="s">
        <v>113</v>
      </c>
      <c r="M494" t="s">
        <v>53</v>
      </c>
      <c r="N494" t="s">
        <v>1201</v>
      </c>
      <c r="O494">
        <v>1</v>
      </c>
      <c r="P494">
        <v>1</v>
      </c>
      <c r="Q494">
        <v>0</v>
      </c>
      <c r="R494" s="1">
        <v>46195.671805555554</v>
      </c>
      <c r="S494" s="1">
        <v>46205.869872685187</v>
      </c>
    </row>
    <row r="495" spans="1:19" x14ac:dyDescent="0.25">
      <c r="A495">
        <v>2010108106</v>
      </c>
      <c r="B495" t="s">
        <v>28</v>
      </c>
      <c r="C495" t="s">
        <v>29</v>
      </c>
      <c r="D495" t="s">
        <v>1212</v>
      </c>
      <c r="E495" t="s">
        <v>1213</v>
      </c>
      <c r="F495" t="e">
        <f>--ds-btn-active-secondary-disabled-bg</f>
        <v>#NAME?</v>
      </c>
      <c r="G495" t="s">
        <v>432</v>
      </c>
      <c r="H495" t="s">
        <v>432</v>
      </c>
      <c r="I495" t="s">
        <v>32</v>
      </c>
      <c r="J495" t="s">
        <v>24</v>
      </c>
      <c r="K495" t="s">
        <v>1159</v>
      </c>
      <c r="L495" t="s">
        <v>113</v>
      </c>
      <c r="M495" t="s">
        <v>57</v>
      </c>
      <c r="N495" t="s">
        <v>1201</v>
      </c>
      <c r="O495">
        <v>1</v>
      </c>
      <c r="P495">
        <v>1</v>
      </c>
      <c r="Q495">
        <v>0</v>
      </c>
      <c r="R495" s="1">
        <v>46195.671805555554</v>
      </c>
      <c r="S495" s="1">
        <v>46205.869872685187</v>
      </c>
    </row>
    <row r="496" spans="1:19" x14ac:dyDescent="0.25">
      <c r="A496">
        <v>2010108107</v>
      </c>
      <c r="B496" t="s">
        <v>28</v>
      </c>
      <c r="C496" t="s">
        <v>29</v>
      </c>
      <c r="D496" t="s">
        <v>1214</v>
      </c>
      <c r="E496" t="s">
        <v>1215</v>
      </c>
      <c r="F496" t="e">
        <f>--ds-btn-active-secondary-disabled-text</f>
        <v>#NAME?</v>
      </c>
      <c r="G496" t="s">
        <v>60</v>
      </c>
      <c r="H496" t="s">
        <v>60</v>
      </c>
      <c r="I496" t="s">
        <v>32</v>
      </c>
      <c r="J496" t="s">
        <v>24</v>
      </c>
      <c r="K496" t="s">
        <v>1159</v>
      </c>
      <c r="L496" t="s">
        <v>113</v>
      </c>
      <c r="M496" t="s">
        <v>61</v>
      </c>
      <c r="N496" t="s">
        <v>1201</v>
      </c>
      <c r="O496">
        <v>1</v>
      </c>
      <c r="P496">
        <v>1</v>
      </c>
      <c r="Q496">
        <v>0</v>
      </c>
      <c r="R496" s="1">
        <v>46195.671805555554</v>
      </c>
      <c r="S496" s="1">
        <v>46205.869872685187</v>
      </c>
    </row>
    <row r="497" spans="1:19" x14ac:dyDescent="0.25">
      <c r="A497">
        <v>2010108108</v>
      </c>
      <c r="B497" t="s">
        <v>28</v>
      </c>
      <c r="C497" t="s">
        <v>29</v>
      </c>
      <c r="D497" t="s">
        <v>1216</v>
      </c>
      <c r="E497" t="s">
        <v>1217</v>
      </c>
      <c r="F497" t="e">
        <f>--ds-btn-active-secondary-disabled-border</f>
        <v>#NAME?</v>
      </c>
      <c r="G497" t="s">
        <v>447</v>
      </c>
      <c r="H497" t="s">
        <v>447</v>
      </c>
      <c r="I497" t="s">
        <v>32</v>
      </c>
      <c r="J497" t="s">
        <v>24</v>
      </c>
      <c r="K497" t="s">
        <v>1159</v>
      </c>
      <c r="L497" t="s">
        <v>113</v>
      </c>
      <c r="M497" t="s">
        <v>65</v>
      </c>
      <c r="N497" t="s">
        <v>1201</v>
      </c>
      <c r="O497">
        <v>1</v>
      </c>
      <c r="P497">
        <v>1</v>
      </c>
      <c r="Q497">
        <v>0</v>
      </c>
      <c r="R497" s="1">
        <v>46195.671805555554</v>
      </c>
      <c r="S497" s="1">
        <v>46205.869872685187</v>
      </c>
    </row>
    <row r="498" spans="1:19" x14ac:dyDescent="0.25">
      <c r="A498">
        <v>2010108109</v>
      </c>
      <c r="B498" t="s">
        <v>28</v>
      </c>
      <c r="C498" t="s">
        <v>29</v>
      </c>
      <c r="D498" t="s">
        <v>1218</v>
      </c>
      <c r="E498" t="s">
        <v>1219</v>
      </c>
      <c r="F498" t="e">
        <f>--ds-btn-active-secondary-shadow</f>
        <v>#NAME?</v>
      </c>
      <c r="G498" t="s">
        <v>68</v>
      </c>
      <c r="H498" t="s">
        <v>68</v>
      </c>
      <c r="I498" t="s">
        <v>32</v>
      </c>
      <c r="J498" t="s">
        <v>69</v>
      </c>
      <c r="K498" t="s">
        <v>1159</v>
      </c>
      <c r="L498" t="s">
        <v>113</v>
      </c>
      <c r="M498" t="s">
        <v>70</v>
      </c>
      <c r="N498" t="s">
        <v>1201</v>
      </c>
      <c r="O498">
        <v>1</v>
      </c>
      <c r="P498">
        <v>0</v>
      </c>
      <c r="Q498">
        <v>0</v>
      </c>
      <c r="R498" s="1">
        <v>46195.671805555554</v>
      </c>
      <c r="S498" s="1">
        <v>46205.869872685187</v>
      </c>
    </row>
    <row r="499" spans="1:19" x14ac:dyDescent="0.25">
      <c r="A499">
        <v>2010108110</v>
      </c>
      <c r="B499" t="s">
        <v>28</v>
      </c>
      <c r="C499" t="s">
        <v>29</v>
      </c>
      <c r="D499" t="s">
        <v>1220</v>
      </c>
      <c r="E499" t="s">
        <v>1221</v>
      </c>
      <c r="F499" t="e">
        <f>--ds-btn-active-secondary-radius</f>
        <v>#NAME?</v>
      </c>
      <c r="G499" t="s">
        <v>73</v>
      </c>
      <c r="H499" t="s">
        <v>73</v>
      </c>
      <c r="I499" t="s">
        <v>32</v>
      </c>
      <c r="J499" t="s">
        <v>69</v>
      </c>
      <c r="K499" t="s">
        <v>1159</v>
      </c>
      <c r="L499" t="s">
        <v>113</v>
      </c>
      <c r="M499" t="s">
        <v>74</v>
      </c>
      <c r="N499" t="s">
        <v>1201</v>
      </c>
      <c r="O499">
        <v>1</v>
      </c>
      <c r="P499">
        <v>0</v>
      </c>
      <c r="Q499">
        <v>0</v>
      </c>
      <c r="R499" s="1">
        <v>46195.671805555554</v>
      </c>
      <c r="S499" s="1">
        <v>46205.869872685187</v>
      </c>
    </row>
    <row r="500" spans="1:19" x14ac:dyDescent="0.25">
      <c r="A500">
        <v>2010108111</v>
      </c>
      <c r="B500" t="s">
        <v>28</v>
      </c>
      <c r="C500" t="s">
        <v>29</v>
      </c>
      <c r="D500" t="s">
        <v>1222</v>
      </c>
      <c r="E500" t="s">
        <v>1223</v>
      </c>
      <c r="F500" t="e">
        <f>--ds-btn-active-secondary-padding-x</f>
        <v>#NAME?</v>
      </c>
      <c r="G500" t="s">
        <v>77</v>
      </c>
      <c r="H500" t="s">
        <v>77</v>
      </c>
      <c r="I500" t="s">
        <v>32</v>
      </c>
      <c r="J500" t="s">
        <v>78</v>
      </c>
      <c r="K500" t="s">
        <v>1159</v>
      </c>
      <c r="L500" t="s">
        <v>113</v>
      </c>
      <c r="M500" t="s">
        <v>79</v>
      </c>
      <c r="N500" t="s">
        <v>1201</v>
      </c>
      <c r="O500">
        <v>1</v>
      </c>
      <c r="P500">
        <v>0</v>
      </c>
      <c r="Q500">
        <v>0</v>
      </c>
      <c r="R500" s="1">
        <v>46195.671805555554</v>
      </c>
      <c r="S500" s="1">
        <v>46205.869872685187</v>
      </c>
    </row>
    <row r="501" spans="1:19" x14ac:dyDescent="0.25">
      <c r="A501">
        <v>2010108112</v>
      </c>
      <c r="B501" t="s">
        <v>28</v>
      </c>
      <c r="C501" t="s">
        <v>29</v>
      </c>
      <c r="D501" t="s">
        <v>1224</v>
      </c>
      <c r="E501" t="s">
        <v>1225</v>
      </c>
      <c r="F501" t="e">
        <f>--ds-btn-active-secondary-padding-y</f>
        <v>#NAME?</v>
      </c>
      <c r="G501" t="s">
        <v>82</v>
      </c>
      <c r="H501" t="s">
        <v>82</v>
      </c>
      <c r="I501" t="s">
        <v>32</v>
      </c>
      <c r="J501" t="s">
        <v>78</v>
      </c>
      <c r="K501" t="s">
        <v>1159</v>
      </c>
      <c r="L501" t="s">
        <v>113</v>
      </c>
      <c r="M501" t="s">
        <v>83</v>
      </c>
      <c r="N501" t="s">
        <v>1201</v>
      </c>
      <c r="O501">
        <v>1</v>
      </c>
      <c r="P501">
        <v>0</v>
      </c>
      <c r="Q501">
        <v>0</v>
      </c>
      <c r="R501" s="1">
        <v>46195.671805555554</v>
      </c>
      <c r="S501" s="1">
        <v>46205.869872685187</v>
      </c>
    </row>
    <row r="502" spans="1:19" x14ac:dyDescent="0.25">
      <c r="A502">
        <v>2010108113</v>
      </c>
      <c r="B502" t="s">
        <v>28</v>
      </c>
      <c r="C502" t="s">
        <v>29</v>
      </c>
      <c r="D502" t="s">
        <v>1226</v>
      </c>
      <c r="E502" t="s">
        <v>1227</v>
      </c>
      <c r="F502" t="e">
        <f>--ds-btn-active-secondary-gap</f>
        <v>#NAME?</v>
      </c>
      <c r="G502" t="s">
        <v>86</v>
      </c>
      <c r="H502" t="s">
        <v>86</v>
      </c>
      <c r="I502" t="s">
        <v>32</v>
      </c>
      <c r="J502" t="s">
        <v>78</v>
      </c>
      <c r="K502" t="s">
        <v>1159</v>
      </c>
      <c r="L502" t="s">
        <v>113</v>
      </c>
      <c r="M502" t="s">
        <v>87</v>
      </c>
      <c r="N502" t="s">
        <v>1201</v>
      </c>
      <c r="O502">
        <v>1</v>
      </c>
      <c r="P502">
        <v>0</v>
      </c>
      <c r="Q502">
        <v>0</v>
      </c>
      <c r="R502" s="1">
        <v>46195.671805555554</v>
      </c>
      <c r="S502" s="1">
        <v>46205.869872685187</v>
      </c>
    </row>
    <row r="503" spans="1:19" x14ac:dyDescent="0.25">
      <c r="A503">
        <v>2010108114</v>
      </c>
      <c r="B503" t="s">
        <v>28</v>
      </c>
      <c r="C503" t="s">
        <v>29</v>
      </c>
      <c r="D503" t="s">
        <v>1228</v>
      </c>
      <c r="E503" t="s">
        <v>1229</v>
      </c>
      <c r="F503" t="e">
        <f>--ds-btn-active-secondary-focus-ring</f>
        <v>#NAME?</v>
      </c>
      <c r="G503" t="s">
        <v>1230</v>
      </c>
      <c r="H503" t="s">
        <v>1230</v>
      </c>
      <c r="I503" t="s">
        <v>32</v>
      </c>
      <c r="J503" t="s">
        <v>69</v>
      </c>
      <c r="K503" t="s">
        <v>1159</v>
      </c>
      <c r="L503" t="s">
        <v>113</v>
      </c>
      <c r="M503" t="s">
        <v>91</v>
      </c>
      <c r="N503" t="s">
        <v>1201</v>
      </c>
      <c r="O503">
        <v>1</v>
      </c>
      <c r="P503">
        <v>0</v>
      </c>
      <c r="Q503">
        <v>0</v>
      </c>
      <c r="R503" s="1">
        <v>46195.671805555554</v>
      </c>
      <c r="S503" s="1">
        <v>46205.869872685187</v>
      </c>
    </row>
    <row r="504" spans="1:19" x14ac:dyDescent="0.25">
      <c r="A504">
        <v>2010108115</v>
      </c>
      <c r="B504" t="s">
        <v>28</v>
      </c>
      <c r="C504" t="s">
        <v>29</v>
      </c>
      <c r="D504" t="s">
        <v>1231</v>
      </c>
      <c r="E504" t="s">
        <v>1232</v>
      </c>
      <c r="F504" t="e">
        <f>--ds-btn-active-secondary-outline</f>
        <v>#NAME?</v>
      </c>
      <c r="G504" t="s">
        <v>94</v>
      </c>
      <c r="H504" t="s">
        <v>94</v>
      </c>
      <c r="I504" t="s">
        <v>32</v>
      </c>
      <c r="J504" t="s">
        <v>69</v>
      </c>
      <c r="K504" t="s">
        <v>1159</v>
      </c>
      <c r="L504" t="s">
        <v>113</v>
      </c>
      <c r="M504" t="s">
        <v>95</v>
      </c>
      <c r="N504" t="s">
        <v>1201</v>
      </c>
      <c r="O504">
        <v>1</v>
      </c>
      <c r="P504">
        <v>0</v>
      </c>
      <c r="Q504">
        <v>0</v>
      </c>
      <c r="R504" s="1">
        <v>46195.671805555554</v>
      </c>
      <c r="S504" s="1">
        <v>46205.869872685187</v>
      </c>
    </row>
    <row r="505" spans="1:19" x14ac:dyDescent="0.25">
      <c r="A505">
        <v>2010108116</v>
      </c>
      <c r="B505" t="s">
        <v>28</v>
      </c>
      <c r="C505" t="s">
        <v>29</v>
      </c>
      <c r="D505" t="s">
        <v>1233</v>
      </c>
      <c r="E505" t="s">
        <v>1234</v>
      </c>
      <c r="F505" t="e">
        <f>--ds-btn-active-secondary-transition</f>
        <v>#NAME?</v>
      </c>
      <c r="G505" t="s">
        <v>98</v>
      </c>
      <c r="H505" t="s">
        <v>98</v>
      </c>
      <c r="I505" t="s">
        <v>32</v>
      </c>
      <c r="J505" t="s">
        <v>69</v>
      </c>
      <c r="K505" t="s">
        <v>1159</v>
      </c>
      <c r="L505" t="s">
        <v>113</v>
      </c>
      <c r="M505" t="s">
        <v>99</v>
      </c>
      <c r="N505" t="s">
        <v>1201</v>
      </c>
      <c r="O505">
        <v>1</v>
      </c>
      <c r="P505">
        <v>0</v>
      </c>
      <c r="Q505">
        <v>0</v>
      </c>
      <c r="R505" s="1">
        <v>46195.671805555554</v>
      </c>
      <c r="S505" s="1">
        <v>46205.869872685187</v>
      </c>
    </row>
    <row r="506" spans="1:19" x14ac:dyDescent="0.25">
      <c r="A506">
        <v>2010108117</v>
      </c>
      <c r="B506" t="s">
        <v>28</v>
      </c>
      <c r="C506" t="s">
        <v>29</v>
      </c>
      <c r="D506" t="s">
        <v>1235</v>
      </c>
      <c r="E506" t="s">
        <v>1236</v>
      </c>
      <c r="F506" t="e">
        <f>--ds-btn-active-secondary-icon-color</f>
        <v>#NAME?</v>
      </c>
      <c r="G506" t="s">
        <v>37</v>
      </c>
      <c r="H506" t="s">
        <v>37</v>
      </c>
      <c r="I506" t="s">
        <v>32</v>
      </c>
      <c r="J506" t="s">
        <v>24</v>
      </c>
      <c r="K506" t="s">
        <v>1159</v>
      </c>
      <c r="L506" t="s">
        <v>113</v>
      </c>
      <c r="M506" t="s">
        <v>102</v>
      </c>
      <c r="N506" t="s">
        <v>1201</v>
      </c>
      <c r="O506">
        <v>1</v>
      </c>
      <c r="P506">
        <v>0</v>
      </c>
      <c r="Q506">
        <v>0</v>
      </c>
      <c r="R506" s="1">
        <v>46195.671805555554</v>
      </c>
      <c r="S506" s="1">
        <v>46205.869872685187</v>
      </c>
    </row>
    <row r="507" spans="1:19" x14ac:dyDescent="0.25">
      <c r="A507">
        <v>2010108118</v>
      </c>
      <c r="B507" t="s">
        <v>28</v>
      </c>
      <c r="C507" t="s">
        <v>29</v>
      </c>
      <c r="D507" t="s">
        <v>1237</v>
      </c>
      <c r="E507" t="s">
        <v>1238</v>
      </c>
      <c r="F507" t="e">
        <f>--ds-btn-active-secondary-icon-size</f>
        <v>#NAME?</v>
      </c>
      <c r="G507" t="s">
        <v>105</v>
      </c>
      <c r="H507" t="s">
        <v>105</v>
      </c>
      <c r="I507" t="s">
        <v>32</v>
      </c>
      <c r="J507" t="s">
        <v>78</v>
      </c>
      <c r="K507" t="s">
        <v>1159</v>
      </c>
      <c r="L507" t="s">
        <v>113</v>
      </c>
      <c r="M507" t="s">
        <v>106</v>
      </c>
      <c r="N507" t="s">
        <v>1201</v>
      </c>
      <c r="O507">
        <v>1</v>
      </c>
      <c r="P507">
        <v>0</v>
      </c>
      <c r="Q507">
        <v>0</v>
      </c>
      <c r="R507" s="1">
        <v>46195.671805555554</v>
      </c>
      <c r="S507" s="1">
        <v>46205.869872685187</v>
      </c>
    </row>
    <row r="508" spans="1:19" x14ac:dyDescent="0.25">
      <c r="A508">
        <v>2010108119</v>
      </c>
      <c r="B508" t="s">
        <v>28</v>
      </c>
      <c r="C508" t="s">
        <v>29</v>
      </c>
      <c r="D508" t="s">
        <v>1239</v>
      </c>
      <c r="E508" t="s">
        <v>1240</v>
      </c>
      <c r="F508" t="e">
        <f>--ds-btn-active-secondary-line-height</f>
        <v>#NAME?</v>
      </c>
      <c r="G508">
        <v>1.2</v>
      </c>
      <c r="H508">
        <v>1.2</v>
      </c>
      <c r="I508" t="s">
        <v>32</v>
      </c>
      <c r="J508" t="s">
        <v>78</v>
      </c>
      <c r="K508" t="s">
        <v>1159</v>
      </c>
      <c r="L508" t="s">
        <v>113</v>
      </c>
      <c r="M508" t="s">
        <v>109</v>
      </c>
      <c r="N508" t="s">
        <v>1201</v>
      </c>
      <c r="O508">
        <v>1</v>
      </c>
      <c r="P508">
        <v>0</v>
      </c>
      <c r="Q508">
        <v>0</v>
      </c>
      <c r="R508" s="1">
        <v>46195.671805555554</v>
      </c>
      <c r="S508" s="1">
        <v>46205.869872685187</v>
      </c>
    </row>
    <row r="509" spans="1:19" x14ac:dyDescent="0.25">
      <c r="A509">
        <v>2010108200</v>
      </c>
      <c r="B509" t="s">
        <v>28</v>
      </c>
      <c r="C509" t="s">
        <v>29</v>
      </c>
      <c r="D509" t="s">
        <v>1241</v>
      </c>
      <c r="E509" t="s">
        <v>1242</v>
      </c>
      <c r="F509" t="e">
        <f>--ds-btn-active-success-bg</f>
        <v>#NAME?</v>
      </c>
      <c r="G509" t="s">
        <v>138</v>
      </c>
      <c r="H509" t="s">
        <v>138</v>
      </c>
      <c r="I509" t="s">
        <v>32</v>
      </c>
      <c r="J509" t="s">
        <v>24</v>
      </c>
      <c r="K509" t="s">
        <v>1159</v>
      </c>
      <c r="L509" t="s">
        <v>139</v>
      </c>
      <c r="M509" t="s">
        <v>26</v>
      </c>
      <c r="N509" t="s">
        <v>1243</v>
      </c>
      <c r="O509">
        <v>1</v>
      </c>
      <c r="P509">
        <v>1</v>
      </c>
      <c r="Q509">
        <v>0</v>
      </c>
      <c r="R509" s="1">
        <v>46195.672951388886</v>
      </c>
      <c r="S509" s="1">
        <v>46205.869872685187</v>
      </c>
    </row>
    <row r="510" spans="1:19" x14ac:dyDescent="0.25">
      <c r="A510">
        <v>2010108201</v>
      </c>
      <c r="B510" t="s">
        <v>28</v>
      </c>
      <c r="C510" t="s">
        <v>29</v>
      </c>
      <c r="D510" t="s">
        <v>1244</v>
      </c>
      <c r="E510" t="s">
        <v>1245</v>
      </c>
      <c r="F510" t="e">
        <f>--ds-btn-active-success-text</f>
        <v>#NAME?</v>
      </c>
      <c r="G510" t="s">
        <v>37</v>
      </c>
      <c r="H510" t="s">
        <v>37</v>
      </c>
      <c r="I510" t="s">
        <v>32</v>
      </c>
      <c r="J510" t="s">
        <v>24</v>
      </c>
      <c r="K510" t="s">
        <v>1159</v>
      </c>
      <c r="L510" t="s">
        <v>139</v>
      </c>
      <c r="M510" t="s">
        <v>38</v>
      </c>
      <c r="N510" t="s">
        <v>1243</v>
      </c>
      <c r="O510">
        <v>1</v>
      </c>
      <c r="P510">
        <v>1</v>
      </c>
      <c r="Q510">
        <v>0</v>
      </c>
      <c r="R510" s="1">
        <v>46195.672951388886</v>
      </c>
      <c r="S510" s="1">
        <v>46205.869872685187</v>
      </c>
    </row>
    <row r="511" spans="1:19" x14ac:dyDescent="0.25">
      <c r="A511">
        <v>2010108202</v>
      </c>
      <c r="B511" t="s">
        <v>28</v>
      </c>
      <c r="C511" t="s">
        <v>29</v>
      </c>
      <c r="D511" t="s">
        <v>1246</v>
      </c>
      <c r="E511" t="s">
        <v>1247</v>
      </c>
      <c r="F511" t="e">
        <f>--ds-btn-active-success-border</f>
        <v>#NAME?</v>
      </c>
      <c r="G511" t="s">
        <v>138</v>
      </c>
      <c r="H511" t="s">
        <v>138</v>
      </c>
      <c r="I511" t="s">
        <v>32</v>
      </c>
      <c r="J511" t="s">
        <v>24</v>
      </c>
      <c r="K511" t="s">
        <v>1159</v>
      </c>
      <c r="L511" t="s">
        <v>139</v>
      </c>
      <c r="M511" t="s">
        <v>42</v>
      </c>
      <c r="N511" t="s">
        <v>1243</v>
      </c>
      <c r="O511">
        <v>1</v>
      </c>
      <c r="P511">
        <v>1</v>
      </c>
      <c r="Q511">
        <v>0</v>
      </c>
      <c r="R511" s="1">
        <v>46195.672951388886</v>
      </c>
      <c r="S511" s="1">
        <v>46205.869872685187</v>
      </c>
    </row>
    <row r="512" spans="1:19" x14ac:dyDescent="0.25">
      <c r="A512">
        <v>2010108203</v>
      </c>
      <c r="B512" t="s">
        <v>28</v>
      </c>
      <c r="C512" t="s">
        <v>29</v>
      </c>
      <c r="D512" t="s">
        <v>1248</v>
      </c>
      <c r="E512" t="s">
        <v>1249</v>
      </c>
      <c r="F512" t="e">
        <f>--ds-btn-active-success-hover-bg</f>
        <v>#NAME?</v>
      </c>
      <c r="G512" t="s">
        <v>147</v>
      </c>
      <c r="H512" t="s">
        <v>147</v>
      </c>
      <c r="I512" t="s">
        <v>32</v>
      </c>
      <c r="J512" t="s">
        <v>24</v>
      </c>
      <c r="K512" t="s">
        <v>1159</v>
      </c>
      <c r="L512" t="s">
        <v>139</v>
      </c>
      <c r="M512" t="s">
        <v>46</v>
      </c>
      <c r="N512" t="s">
        <v>1243</v>
      </c>
      <c r="O512">
        <v>1</v>
      </c>
      <c r="P512">
        <v>1</v>
      </c>
      <c r="Q512">
        <v>0</v>
      </c>
      <c r="R512" s="1">
        <v>46195.672951388886</v>
      </c>
      <c r="S512" s="1">
        <v>46205.869872685187</v>
      </c>
    </row>
    <row r="513" spans="1:19" x14ac:dyDescent="0.25">
      <c r="A513">
        <v>2010108204</v>
      </c>
      <c r="B513" t="s">
        <v>28</v>
      </c>
      <c r="C513" t="s">
        <v>29</v>
      </c>
      <c r="D513" t="s">
        <v>1250</v>
      </c>
      <c r="E513" t="s">
        <v>1251</v>
      </c>
      <c r="F513" t="e">
        <f>--ds-btn-active-success-hover-text</f>
        <v>#NAME?</v>
      </c>
      <c r="G513" t="s">
        <v>37</v>
      </c>
      <c r="H513" t="s">
        <v>37</v>
      </c>
      <c r="I513" t="s">
        <v>32</v>
      </c>
      <c r="J513" t="s">
        <v>24</v>
      </c>
      <c r="K513" t="s">
        <v>1159</v>
      </c>
      <c r="L513" t="s">
        <v>139</v>
      </c>
      <c r="M513" t="s">
        <v>49</v>
      </c>
      <c r="N513" t="s">
        <v>1243</v>
      </c>
      <c r="O513">
        <v>1</v>
      </c>
      <c r="P513">
        <v>1</v>
      </c>
      <c r="Q513">
        <v>0</v>
      </c>
      <c r="R513" s="1">
        <v>46195.672951388886</v>
      </c>
      <c r="S513" s="1">
        <v>46205.869872685187</v>
      </c>
    </row>
    <row r="514" spans="1:19" x14ac:dyDescent="0.25">
      <c r="A514">
        <v>2010108205</v>
      </c>
      <c r="B514" t="s">
        <v>28</v>
      </c>
      <c r="C514" t="s">
        <v>29</v>
      </c>
      <c r="D514" t="s">
        <v>1252</v>
      </c>
      <c r="E514" t="s">
        <v>1253</v>
      </c>
      <c r="F514" t="e">
        <f>--ds-btn-active-success-hover-border</f>
        <v>#NAME?</v>
      </c>
      <c r="G514" t="s">
        <v>622</v>
      </c>
      <c r="H514" t="s">
        <v>622</v>
      </c>
      <c r="I514" t="s">
        <v>32</v>
      </c>
      <c r="J514" t="s">
        <v>24</v>
      </c>
      <c r="K514" t="s">
        <v>1159</v>
      </c>
      <c r="L514" t="s">
        <v>139</v>
      </c>
      <c r="M514" t="s">
        <v>53</v>
      </c>
      <c r="N514" t="s">
        <v>1243</v>
      </c>
      <c r="O514">
        <v>1</v>
      </c>
      <c r="P514">
        <v>1</v>
      </c>
      <c r="Q514">
        <v>0</v>
      </c>
      <c r="R514" s="1">
        <v>46195.672951388886</v>
      </c>
      <c r="S514" s="1">
        <v>46205.869872685187</v>
      </c>
    </row>
    <row r="515" spans="1:19" x14ac:dyDescent="0.25">
      <c r="A515">
        <v>2010108206</v>
      </c>
      <c r="B515" t="s">
        <v>28</v>
      </c>
      <c r="C515" t="s">
        <v>29</v>
      </c>
      <c r="D515" t="s">
        <v>1254</v>
      </c>
      <c r="E515" t="s">
        <v>1255</v>
      </c>
      <c r="F515" t="e">
        <f>--ds-btn-active-success-disabled-bg</f>
        <v>#NAME?</v>
      </c>
      <c r="G515" t="s">
        <v>461</v>
      </c>
      <c r="H515" t="s">
        <v>461</v>
      </c>
      <c r="I515" t="s">
        <v>32</v>
      </c>
      <c r="J515" t="s">
        <v>24</v>
      </c>
      <c r="K515" t="s">
        <v>1159</v>
      </c>
      <c r="L515" t="s">
        <v>139</v>
      </c>
      <c r="M515" t="s">
        <v>57</v>
      </c>
      <c r="N515" t="s">
        <v>1243</v>
      </c>
      <c r="O515">
        <v>1</v>
      </c>
      <c r="P515">
        <v>1</v>
      </c>
      <c r="Q515">
        <v>0</v>
      </c>
      <c r="R515" s="1">
        <v>46195.672951388886</v>
      </c>
      <c r="S515" s="1">
        <v>46205.869872685187</v>
      </c>
    </row>
    <row r="516" spans="1:19" x14ac:dyDescent="0.25">
      <c r="A516">
        <v>2010108207</v>
      </c>
      <c r="B516" t="s">
        <v>28</v>
      </c>
      <c r="C516" t="s">
        <v>29</v>
      </c>
      <c r="D516" t="s">
        <v>1256</v>
      </c>
      <c r="E516" t="s">
        <v>1257</v>
      </c>
      <c r="F516" t="e">
        <f>--ds-btn-active-success-disabled-text</f>
        <v>#NAME?</v>
      </c>
      <c r="G516" t="s">
        <v>60</v>
      </c>
      <c r="H516" t="s">
        <v>60</v>
      </c>
      <c r="I516" t="s">
        <v>32</v>
      </c>
      <c r="J516" t="s">
        <v>24</v>
      </c>
      <c r="K516" t="s">
        <v>1159</v>
      </c>
      <c r="L516" t="s">
        <v>139</v>
      </c>
      <c r="M516" t="s">
        <v>61</v>
      </c>
      <c r="N516" t="s">
        <v>1243</v>
      </c>
      <c r="O516">
        <v>1</v>
      </c>
      <c r="P516">
        <v>1</v>
      </c>
      <c r="Q516">
        <v>0</v>
      </c>
      <c r="R516" s="1">
        <v>46195.672951388886</v>
      </c>
      <c r="S516" s="1">
        <v>46205.869872685187</v>
      </c>
    </row>
    <row r="517" spans="1:19" x14ac:dyDescent="0.25">
      <c r="A517">
        <v>2010108208</v>
      </c>
      <c r="B517" t="s">
        <v>28</v>
      </c>
      <c r="C517" t="s">
        <v>29</v>
      </c>
      <c r="D517" t="s">
        <v>1258</v>
      </c>
      <c r="E517" t="s">
        <v>1259</v>
      </c>
      <c r="F517" t="e">
        <f>--ds-btn-active-success-disabled-border</f>
        <v>#NAME?</v>
      </c>
      <c r="G517" t="s">
        <v>1260</v>
      </c>
      <c r="H517" t="s">
        <v>1260</v>
      </c>
      <c r="I517" t="s">
        <v>32</v>
      </c>
      <c r="J517" t="s">
        <v>24</v>
      </c>
      <c r="K517" t="s">
        <v>1159</v>
      </c>
      <c r="L517" t="s">
        <v>139</v>
      </c>
      <c r="M517" t="s">
        <v>65</v>
      </c>
      <c r="N517" t="s">
        <v>1243</v>
      </c>
      <c r="O517">
        <v>1</v>
      </c>
      <c r="P517">
        <v>1</v>
      </c>
      <c r="Q517">
        <v>0</v>
      </c>
      <c r="R517" s="1">
        <v>46195.672951388886</v>
      </c>
      <c r="S517" s="1">
        <v>46205.869872685187</v>
      </c>
    </row>
    <row r="518" spans="1:19" x14ac:dyDescent="0.25">
      <c r="A518">
        <v>2010108209</v>
      </c>
      <c r="B518" t="s">
        <v>28</v>
      </c>
      <c r="C518" t="s">
        <v>29</v>
      </c>
      <c r="D518" t="s">
        <v>1261</v>
      </c>
      <c r="E518" t="s">
        <v>1262</v>
      </c>
      <c r="F518" t="e">
        <f>--ds-btn-active-success-shadow</f>
        <v>#NAME?</v>
      </c>
      <c r="G518" t="s">
        <v>68</v>
      </c>
      <c r="H518" t="s">
        <v>68</v>
      </c>
      <c r="I518" t="s">
        <v>32</v>
      </c>
      <c r="J518" t="s">
        <v>69</v>
      </c>
      <c r="K518" t="s">
        <v>1159</v>
      </c>
      <c r="L518" t="s">
        <v>139</v>
      </c>
      <c r="M518" t="s">
        <v>70</v>
      </c>
      <c r="N518" t="s">
        <v>1243</v>
      </c>
      <c r="O518">
        <v>1</v>
      </c>
      <c r="P518">
        <v>0</v>
      </c>
      <c r="Q518">
        <v>0</v>
      </c>
      <c r="R518" s="1">
        <v>46195.672951388886</v>
      </c>
      <c r="S518" s="1">
        <v>46205.869872685187</v>
      </c>
    </row>
    <row r="519" spans="1:19" x14ac:dyDescent="0.25">
      <c r="A519">
        <v>2010108210</v>
      </c>
      <c r="B519" t="s">
        <v>28</v>
      </c>
      <c r="C519" t="s">
        <v>29</v>
      </c>
      <c r="D519" t="s">
        <v>1263</v>
      </c>
      <c r="E519" t="s">
        <v>1264</v>
      </c>
      <c r="F519" t="e">
        <f>--ds-btn-active-success-radius</f>
        <v>#NAME?</v>
      </c>
      <c r="G519" t="s">
        <v>73</v>
      </c>
      <c r="H519" t="s">
        <v>73</v>
      </c>
      <c r="I519" t="s">
        <v>32</v>
      </c>
      <c r="J519" t="s">
        <v>69</v>
      </c>
      <c r="K519" t="s">
        <v>1159</v>
      </c>
      <c r="L519" t="s">
        <v>139</v>
      </c>
      <c r="M519" t="s">
        <v>74</v>
      </c>
      <c r="N519" t="s">
        <v>1243</v>
      </c>
      <c r="O519">
        <v>1</v>
      </c>
      <c r="P519">
        <v>0</v>
      </c>
      <c r="Q519">
        <v>0</v>
      </c>
      <c r="R519" s="1">
        <v>46195.672951388886</v>
      </c>
      <c r="S519" s="1">
        <v>46205.869872685187</v>
      </c>
    </row>
    <row r="520" spans="1:19" x14ac:dyDescent="0.25">
      <c r="A520">
        <v>2010108211</v>
      </c>
      <c r="B520" t="s">
        <v>28</v>
      </c>
      <c r="C520" t="s">
        <v>29</v>
      </c>
      <c r="D520" t="s">
        <v>1265</v>
      </c>
      <c r="E520" t="s">
        <v>1266</v>
      </c>
      <c r="F520" t="e">
        <f>--ds-btn-active-success-padding-x</f>
        <v>#NAME?</v>
      </c>
      <c r="G520" t="s">
        <v>77</v>
      </c>
      <c r="H520" t="s">
        <v>77</v>
      </c>
      <c r="I520" t="s">
        <v>32</v>
      </c>
      <c r="J520" t="s">
        <v>78</v>
      </c>
      <c r="K520" t="s">
        <v>1159</v>
      </c>
      <c r="L520" t="s">
        <v>139</v>
      </c>
      <c r="M520" t="s">
        <v>79</v>
      </c>
      <c r="N520" t="s">
        <v>1243</v>
      </c>
      <c r="O520">
        <v>1</v>
      </c>
      <c r="P520">
        <v>0</v>
      </c>
      <c r="Q520">
        <v>0</v>
      </c>
      <c r="R520" s="1">
        <v>46195.672951388886</v>
      </c>
      <c r="S520" s="1">
        <v>46205.869872685187</v>
      </c>
    </row>
    <row r="521" spans="1:19" x14ac:dyDescent="0.25">
      <c r="A521">
        <v>2010108212</v>
      </c>
      <c r="B521" t="s">
        <v>28</v>
      </c>
      <c r="C521" t="s">
        <v>29</v>
      </c>
      <c r="D521" t="s">
        <v>1267</v>
      </c>
      <c r="E521" t="s">
        <v>1268</v>
      </c>
      <c r="F521" t="e">
        <f>--ds-btn-active-success-padding-y</f>
        <v>#NAME?</v>
      </c>
      <c r="G521" t="s">
        <v>82</v>
      </c>
      <c r="H521" t="s">
        <v>82</v>
      </c>
      <c r="I521" t="s">
        <v>32</v>
      </c>
      <c r="J521" t="s">
        <v>78</v>
      </c>
      <c r="K521" t="s">
        <v>1159</v>
      </c>
      <c r="L521" t="s">
        <v>139</v>
      </c>
      <c r="M521" t="s">
        <v>83</v>
      </c>
      <c r="N521" t="s">
        <v>1243</v>
      </c>
      <c r="O521">
        <v>1</v>
      </c>
      <c r="P521">
        <v>0</v>
      </c>
      <c r="Q521">
        <v>0</v>
      </c>
      <c r="R521" s="1">
        <v>46195.672951388886</v>
      </c>
      <c r="S521" s="1">
        <v>46205.869872685187</v>
      </c>
    </row>
    <row r="522" spans="1:19" x14ac:dyDescent="0.25">
      <c r="A522">
        <v>2010108213</v>
      </c>
      <c r="B522" t="s">
        <v>28</v>
      </c>
      <c r="C522" t="s">
        <v>29</v>
      </c>
      <c r="D522" t="s">
        <v>1269</v>
      </c>
      <c r="E522" t="s">
        <v>1270</v>
      </c>
      <c r="F522" t="e">
        <f>--ds-btn-active-success-gap</f>
        <v>#NAME?</v>
      </c>
      <c r="G522" t="s">
        <v>86</v>
      </c>
      <c r="H522" t="s">
        <v>86</v>
      </c>
      <c r="I522" t="s">
        <v>32</v>
      </c>
      <c r="J522" t="s">
        <v>78</v>
      </c>
      <c r="K522" t="s">
        <v>1159</v>
      </c>
      <c r="L522" t="s">
        <v>139</v>
      </c>
      <c r="M522" t="s">
        <v>87</v>
      </c>
      <c r="N522" t="s">
        <v>1243</v>
      </c>
      <c r="O522">
        <v>1</v>
      </c>
      <c r="P522">
        <v>0</v>
      </c>
      <c r="Q522">
        <v>0</v>
      </c>
      <c r="R522" s="1">
        <v>46195.672951388886</v>
      </c>
      <c r="S522" s="1">
        <v>46205.869872685187</v>
      </c>
    </row>
    <row r="523" spans="1:19" x14ac:dyDescent="0.25">
      <c r="A523">
        <v>2010108214</v>
      </c>
      <c r="B523" t="s">
        <v>28</v>
      </c>
      <c r="C523" t="s">
        <v>29</v>
      </c>
      <c r="D523" t="s">
        <v>1271</v>
      </c>
      <c r="E523" t="s">
        <v>1272</v>
      </c>
      <c r="F523" t="e">
        <f>--ds-btn-active-success-focus-ring</f>
        <v>#NAME?</v>
      </c>
      <c r="G523" t="s">
        <v>1273</v>
      </c>
      <c r="H523" t="s">
        <v>1273</v>
      </c>
      <c r="I523" t="s">
        <v>32</v>
      </c>
      <c r="J523" t="s">
        <v>69</v>
      </c>
      <c r="K523" t="s">
        <v>1159</v>
      </c>
      <c r="L523" t="s">
        <v>139</v>
      </c>
      <c r="M523" t="s">
        <v>91</v>
      </c>
      <c r="N523" t="s">
        <v>1243</v>
      </c>
      <c r="O523">
        <v>1</v>
      </c>
      <c r="P523">
        <v>0</v>
      </c>
      <c r="Q523">
        <v>0</v>
      </c>
      <c r="R523" s="1">
        <v>46195.672951388886</v>
      </c>
      <c r="S523" s="1">
        <v>46205.869872685187</v>
      </c>
    </row>
    <row r="524" spans="1:19" x14ac:dyDescent="0.25">
      <c r="A524">
        <v>2010108215</v>
      </c>
      <c r="B524" t="s">
        <v>28</v>
      </c>
      <c r="C524" t="s">
        <v>29</v>
      </c>
      <c r="D524" t="s">
        <v>1274</v>
      </c>
      <c r="E524" t="s">
        <v>1275</v>
      </c>
      <c r="F524" t="e">
        <f>--ds-btn-active-success-outline</f>
        <v>#NAME?</v>
      </c>
      <c r="G524" t="s">
        <v>94</v>
      </c>
      <c r="H524" t="s">
        <v>94</v>
      </c>
      <c r="I524" t="s">
        <v>32</v>
      </c>
      <c r="J524" t="s">
        <v>69</v>
      </c>
      <c r="K524" t="s">
        <v>1159</v>
      </c>
      <c r="L524" t="s">
        <v>139</v>
      </c>
      <c r="M524" t="s">
        <v>95</v>
      </c>
      <c r="N524" t="s">
        <v>1243</v>
      </c>
      <c r="O524">
        <v>1</v>
      </c>
      <c r="P524">
        <v>0</v>
      </c>
      <c r="Q524">
        <v>0</v>
      </c>
      <c r="R524" s="1">
        <v>46195.672951388886</v>
      </c>
      <c r="S524" s="1">
        <v>46205.869872685187</v>
      </c>
    </row>
    <row r="525" spans="1:19" x14ac:dyDescent="0.25">
      <c r="A525">
        <v>2010108216</v>
      </c>
      <c r="B525" t="s">
        <v>28</v>
      </c>
      <c r="C525" t="s">
        <v>29</v>
      </c>
      <c r="D525" t="s">
        <v>1276</v>
      </c>
      <c r="E525" t="s">
        <v>1277</v>
      </c>
      <c r="F525" t="e">
        <f>--ds-btn-active-success-transition</f>
        <v>#NAME?</v>
      </c>
      <c r="G525" t="s">
        <v>98</v>
      </c>
      <c r="H525" t="s">
        <v>98</v>
      </c>
      <c r="I525" t="s">
        <v>32</v>
      </c>
      <c r="J525" t="s">
        <v>69</v>
      </c>
      <c r="K525" t="s">
        <v>1159</v>
      </c>
      <c r="L525" t="s">
        <v>139</v>
      </c>
      <c r="M525" t="s">
        <v>99</v>
      </c>
      <c r="N525" t="s">
        <v>1243</v>
      </c>
      <c r="O525">
        <v>1</v>
      </c>
      <c r="P525">
        <v>0</v>
      </c>
      <c r="Q525">
        <v>0</v>
      </c>
      <c r="R525" s="1">
        <v>46195.672951388886</v>
      </c>
      <c r="S525" s="1">
        <v>46205.869872685187</v>
      </c>
    </row>
    <row r="526" spans="1:19" x14ac:dyDescent="0.25">
      <c r="A526">
        <v>2010108217</v>
      </c>
      <c r="B526" t="s">
        <v>28</v>
      </c>
      <c r="C526" t="s">
        <v>29</v>
      </c>
      <c r="D526" t="s">
        <v>1278</v>
      </c>
      <c r="E526" t="s">
        <v>1279</v>
      </c>
      <c r="F526" t="e">
        <f>--ds-btn-active-success-icon-color</f>
        <v>#NAME?</v>
      </c>
      <c r="G526" t="s">
        <v>37</v>
      </c>
      <c r="H526" t="s">
        <v>37</v>
      </c>
      <c r="I526" t="s">
        <v>32</v>
      </c>
      <c r="J526" t="s">
        <v>24</v>
      </c>
      <c r="K526" t="s">
        <v>1159</v>
      </c>
      <c r="L526" t="s">
        <v>139</v>
      </c>
      <c r="M526" t="s">
        <v>102</v>
      </c>
      <c r="N526" t="s">
        <v>1243</v>
      </c>
      <c r="O526">
        <v>1</v>
      </c>
      <c r="P526">
        <v>0</v>
      </c>
      <c r="Q526">
        <v>0</v>
      </c>
      <c r="R526" s="1">
        <v>46195.672951388886</v>
      </c>
      <c r="S526" s="1">
        <v>46205.869872685187</v>
      </c>
    </row>
    <row r="527" spans="1:19" x14ac:dyDescent="0.25">
      <c r="A527">
        <v>2010108218</v>
      </c>
      <c r="B527" t="s">
        <v>28</v>
      </c>
      <c r="C527" t="s">
        <v>29</v>
      </c>
      <c r="D527" t="s">
        <v>1280</v>
      </c>
      <c r="E527" t="s">
        <v>1281</v>
      </c>
      <c r="F527" t="e">
        <f>--ds-btn-active-success-icon-size</f>
        <v>#NAME?</v>
      </c>
      <c r="G527" t="s">
        <v>105</v>
      </c>
      <c r="H527" t="s">
        <v>105</v>
      </c>
      <c r="I527" t="s">
        <v>32</v>
      </c>
      <c r="J527" t="s">
        <v>78</v>
      </c>
      <c r="K527" t="s">
        <v>1159</v>
      </c>
      <c r="L527" t="s">
        <v>139</v>
      </c>
      <c r="M527" t="s">
        <v>106</v>
      </c>
      <c r="N527" t="s">
        <v>1243</v>
      </c>
      <c r="O527">
        <v>1</v>
      </c>
      <c r="P527">
        <v>0</v>
      </c>
      <c r="Q527">
        <v>0</v>
      </c>
      <c r="R527" s="1">
        <v>46195.672951388886</v>
      </c>
      <c r="S527" s="1">
        <v>46205.869872685187</v>
      </c>
    </row>
    <row r="528" spans="1:19" x14ac:dyDescent="0.25">
      <c r="A528">
        <v>2010108219</v>
      </c>
      <c r="B528" t="s">
        <v>28</v>
      </c>
      <c r="C528" t="s">
        <v>29</v>
      </c>
      <c r="D528" t="s">
        <v>1282</v>
      </c>
      <c r="E528" t="s">
        <v>1283</v>
      </c>
      <c r="F528" t="e">
        <f>--ds-btn-active-success-line-height</f>
        <v>#NAME?</v>
      </c>
      <c r="G528">
        <v>1.2</v>
      </c>
      <c r="H528">
        <v>1.2</v>
      </c>
      <c r="I528" t="s">
        <v>32</v>
      </c>
      <c r="J528" t="s">
        <v>78</v>
      </c>
      <c r="K528" t="s">
        <v>1159</v>
      </c>
      <c r="L528" t="s">
        <v>139</v>
      </c>
      <c r="M528" t="s">
        <v>109</v>
      </c>
      <c r="N528" t="s">
        <v>1243</v>
      </c>
      <c r="O528">
        <v>1</v>
      </c>
      <c r="P528">
        <v>0</v>
      </c>
      <c r="Q528">
        <v>0</v>
      </c>
      <c r="R528" s="1">
        <v>46195.672951388886</v>
      </c>
      <c r="S528" s="1">
        <v>46205.869872685187</v>
      </c>
    </row>
    <row r="529" spans="1:19" x14ac:dyDescent="0.25">
      <c r="A529">
        <v>2010108300</v>
      </c>
      <c r="B529" t="s">
        <v>28</v>
      </c>
      <c r="C529" t="s">
        <v>29</v>
      </c>
      <c r="D529" t="s">
        <v>1284</v>
      </c>
      <c r="E529" t="s">
        <v>1285</v>
      </c>
      <c r="F529" t="e">
        <f>--ds-btn-active-danger-bg</f>
        <v>#NAME?</v>
      </c>
      <c r="G529" t="s">
        <v>160</v>
      </c>
      <c r="H529" t="s">
        <v>160</v>
      </c>
      <c r="I529" t="s">
        <v>32</v>
      </c>
      <c r="J529" t="s">
        <v>24</v>
      </c>
      <c r="K529" t="s">
        <v>1159</v>
      </c>
      <c r="L529" t="s">
        <v>161</v>
      </c>
      <c r="M529" t="s">
        <v>26</v>
      </c>
      <c r="N529" t="s">
        <v>1286</v>
      </c>
      <c r="O529">
        <v>1</v>
      </c>
      <c r="P529">
        <v>1</v>
      </c>
      <c r="Q529">
        <v>0</v>
      </c>
      <c r="R529" s="1">
        <v>46195.673414351855</v>
      </c>
      <c r="S529" s="1">
        <v>46205.869872685187</v>
      </c>
    </row>
    <row r="530" spans="1:19" x14ac:dyDescent="0.25">
      <c r="A530">
        <v>2010108301</v>
      </c>
      <c r="B530" t="s">
        <v>28</v>
      </c>
      <c r="C530" t="s">
        <v>29</v>
      </c>
      <c r="D530" t="s">
        <v>1287</v>
      </c>
      <c r="E530" t="s">
        <v>1288</v>
      </c>
      <c r="F530" t="e">
        <f>--ds-btn-active-danger-text</f>
        <v>#NAME?</v>
      </c>
      <c r="G530" t="s">
        <v>37</v>
      </c>
      <c r="H530" t="s">
        <v>37</v>
      </c>
      <c r="I530" t="s">
        <v>32</v>
      </c>
      <c r="J530" t="s">
        <v>24</v>
      </c>
      <c r="K530" t="s">
        <v>1159</v>
      </c>
      <c r="L530" t="s">
        <v>161</v>
      </c>
      <c r="M530" t="s">
        <v>38</v>
      </c>
      <c r="N530" t="s">
        <v>1286</v>
      </c>
      <c r="O530">
        <v>1</v>
      </c>
      <c r="P530">
        <v>1</v>
      </c>
      <c r="Q530">
        <v>0</v>
      </c>
      <c r="R530" s="1">
        <v>46195.673414351855</v>
      </c>
      <c r="S530" s="1">
        <v>46205.869872685187</v>
      </c>
    </row>
    <row r="531" spans="1:19" x14ac:dyDescent="0.25">
      <c r="A531">
        <v>2010108302</v>
      </c>
      <c r="B531" t="s">
        <v>28</v>
      </c>
      <c r="C531" t="s">
        <v>29</v>
      </c>
      <c r="D531" t="s">
        <v>1289</v>
      </c>
      <c r="E531" t="s">
        <v>1290</v>
      </c>
      <c r="F531" t="e">
        <f>--ds-btn-active-danger-border</f>
        <v>#NAME?</v>
      </c>
      <c r="G531" t="s">
        <v>160</v>
      </c>
      <c r="H531" t="s">
        <v>160</v>
      </c>
      <c r="I531" t="s">
        <v>32</v>
      </c>
      <c r="J531" t="s">
        <v>24</v>
      </c>
      <c r="K531" t="s">
        <v>1159</v>
      </c>
      <c r="L531" t="s">
        <v>161</v>
      </c>
      <c r="M531" t="s">
        <v>42</v>
      </c>
      <c r="N531" t="s">
        <v>1286</v>
      </c>
      <c r="O531">
        <v>1</v>
      </c>
      <c r="P531">
        <v>1</v>
      </c>
      <c r="Q531">
        <v>0</v>
      </c>
      <c r="R531" s="1">
        <v>46195.673414351855</v>
      </c>
      <c r="S531" s="1">
        <v>46205.869872685187</v>
      </c>
    </row>
    <row r="532" spans="1:19" x14ac:dyDescent="0.25">
      <c r="A532">
        <v>2010108303</v>
      </c>
      <c r="B532" t="s">
        <v>28</v>
      </c>
      <c r="C532" t="s">
        <v>29</v>
      </c>
      <c r="D532" t="s">
        <v>1291</v>
      </c>
      <c r="E532" t="s">
        <v>1292</v>
      </c>
      <c r="F532" t="e">
        <f>--ds-btn-active-danger-hover-bg</f>
        <v>#NAME?</v>
      </c>
      <c r="G532" t="s">
        <v>169</v>
      </c>
      <c r="H532" t="s">
        <v>169</v>
      </c>
      <c r="I532" t="s">
        <v>32</v>
      </c>
      <c r="J532" t="s">
        <v>24</v>
      </c>
      <c r="K532" t="s">
        <v>1159</v>
      </c>
      <c r="L532" t="s">
        <v>161</v>
      </c>
      <c r="M532" t="s">
        <v>46</v>
      </c>
      <c r="N532" t="s">
        <v>1286</v>
      </c>
      <c r="O532">
        <v>1</v>
      </c>
      <c r="P532">
        <v>1</v>
      </c>
      <c r="Q532">
        <v>0</v>
      </c>
      <c r="R532" s="1">
        <v>46195.673414351855</v>
      </c>
      <c r="S532" s="1">
        <v>46205.869872685187</v>
      </c>
    </row>
    <row r="533" spans="1:19" x14ac:dyDescent="0.25">
      <c r="A533">
        <v>2010108304</v>
      </c>
      <c r="B533" t="s">
        <v>28</v>
      </c>
      <c r="C533" t="s">
        <v>29</v>
      </c>
      <c r="D533" t="s">
        <v>1293</v>
      </c>
      <c r="E533" t="s">
        <v>1294</v>
      </c>
      <c r="F533" t="e">
        <f>--ds-btn-active-danger-hover-text</f>
        <v>#NAME?</v>
      </c>
      <c r="G533" t="s">
        <v>37</v>
      </c>
      <c r="H533" t="s">
        <v>37</v>
      </c>
      <c r="I533" t="s">
        <v>32</v>
      </c>
      <c r="J533" t="s">
        <v>24</v>
      </c>
      <c r="K533" t="s">
        <v>1159</v>
      </c>
      <c r="L533" t="s">
        <v>161</v>
      </c>
      <c r="M533" t="s">
        <v>49</v>
      </c>
      <c r="N533" t="s">
        <v>1286</v>
      </c>
      <c r="O533">
        <v>1</v>
      </c>
      <c r="P533">
        <v>1</v>
      </c>
      <c r="Q533">
        <v>0</v>
      </c>
      <c r="R533" s="1">
        <v>46195.673414351855</v>
      </c>
      <c r="S533" s="1">
        <v>46205.869872685187</v>
      </c>
    </row>
    <row r="534" spans="1:19" x14ac:dyDescent="0.25">
      <c r="A534">
        <v>2010108305</v>
      </c>
      <c r="B534" t="s">
        <v>28</v>
      </c>
      <c r="C534" t="s">
        <v>29</v>
      </c>
      <c r="D534" t="s">
        <v>1295</v>
      </c>
      <c r="E534" t="s">
        <v>1296</v>
      </c>
      <c r="F534" t="e">
        <f>--ds-btn-active-danger-hover-border</f>
        <v>#NAME?</v>
      </c>
      <c r="G534" t="s">
        <v>955</v>
      </c>
      <c r="H534" t="s">
        <v>955</v>
      </c>
      <c r="I534" t="s">
        <v>32</v>
      </c>
      <c r="J534" t="s">
        <v>24</v>
      </c>
      <c r="K534" t="s">
        <v>1159</v>
      </c>
      <c r="L534" t="s">
        <v>161</v>
      </c>
      <c r="M534" t="s">
        <v>53</v>
      </c>
      <c r="N534" t="s">
        <v>1286</v>
      </c>
      <c r="O534">
        <v>1</v>
      </c>
      <c r="P534">
        <v>1</v>
      </c>
      <c r="Q534">
        <v>0</v>
      </c>
      <c r="R534" s="1">
        <v>46195.673414351855</v>
      </c>
      <c r="S534" s="1">
        <v>46205.869872685187</v>
      </c>
    </row>
    <row r="535" spans="1:19" x14ac:dyDescent="0.25">
      <c r="A535">
        <v>2010108306</v>
      </c>
      <c r="B535" t="s">
        <v>28</v>
      </c>
      <c r="C535" t="s">
        <v>29</v>
      </c>
      <c r="D535" t="s">
        <v>1297</v>
      </c>
      <c r="E535" t="s">
        <v>1298</v>
      </c>
      <c r="F535" t="e">
        <f>--ds-btn-active-danger-disabled-bg</f>
        <v>#NAME?</v>
      </c>
      <c r="G535" t="s">
        <v>484</v>
      </c>
      <c r="H535" t="s">
        <v>484</v>
      </c>
      <c r="I535" t="s">
        <v>32</v>
      </c>
      <c r="J535" t="s">
        <v>24</v>
      </c>
      <c r="K535" t="s">
        <v>1159</v>
      </c>
      <c r="L535" t="s">
        <v>161</v>
      </c>
      <c r="M535" t="s">
        <v>57</v>
      </c>
      <c r="N535" t="s">
        <v>1286</v>
      </c>
      <c r="O535">
        <v>1</v>
      </c>
      <c r="P535">
        <v>1</v>
      </c>
      <c r="Q535">
        <v>0</v>
      </c>
      <c r="R535" s="1">
        <v>46195.673414351855</v>
      </c>
      <c r="S535" s="1">
        <v>46205.869872685187</v>
      </c>
    </row>
    <row r="536" spans="1:19" x14ac:dyDescent="0.25">
      <c r="A536">
        <v>2010108307</v>
      </c>
      <c r="B536" t="s">
        <v>28</v>
      </c>
      <c r="C536" t="s">
        <v>29</v>
      </c>
      <c r="D536" t="s">
        <v>1299</v>
      </c>
      <c r="E536" t="s">
        <v>1300</v>
      </c>
      <c r="F536" t="e">
        <f>--ds-btn-active-danger-disabled-text</f>
        <v>#NAME?</v>
      </c>
      <c r="G536" t="s">
        <v>60</v>
      </c>
      <c r="H536" t="s">
        <v>60</v>
      </c>
      <c r="I536" t="s">
        <v>32</v>
      </c>
      <c r="J536" t="s">
        <v>24</v>
      </c>
      <c r="K536" t="s">
        <v>1159</v>
      </c>
      <c r="L536" t="s">
        <v>161</v>
      </c>
      <c r="M536" t="s">
        <v>61</v>
      </c>
      <c r="N536" t="s">
        <v>1286</v>
      </c>
      <c r="O536">
        <v>1</v>
      </c>
      <c r="P536">
        <v>1</v>
      </c>
      <c r="Q536">
        <v>0</v>
      </c>
      <c r="R536" s="1">
        <v>46195.673414351855</v>
      </c>
      <c r="S536" s="1">
        <v>46205.869872685187</v>
      </c>
    </row>
    <row r="537" spans="1:19" x14ac:dyDescent="0.25">
      <c r="A537">
        <v>2010108308</v>
      </c>
      <c r="B537" t="s">
        <v>28</v>
      </c>
      <c r="C537" t="s">
        <v>29</v>
      </c>
      <c r="D537" t="s">
        <v>1301</v>
      </c>
      <c r="E537" t="s">
        <v>1302</v>
      </c>
      <c r="F537" t="e">
        <f>--ds-btn-active-danger-disabled-border</f>
        <v>#NAME?</v>
      </c>
      <c r="G537" t="s">
        <v>1303</v>
      </c>
      <c r="H537" t="s">
        <v>1303</v>
      </c>
      <c r="I537" t="s">
        <v>32</v>
      </c>
      <c r="J537" t="s">
        <v>24</v>
      </c>
      <c r="K537" t="s">
        <v>1159</v>
      </c>
      <c r="L537" t="s">
        <v>161</v>
      </c>
      <c r="M537" t="s">
        <v>65</v>
      </c>
      <c r="N537" t="s">
        <v>1286</v>
      </c>
      <c r="O537">
        <v>1</v>
      </c>
      <c r="P537">
        <v>1</v>
      </c>
      <c r="Q537">
        <v>0</v>
      </c>
      <c r="R537" s="1">
        <v>46195.673414351855</v>
      </c>
      <c r="S537" s="1">
        <v>46205.869872685187</v>
      </c>
    </row>
    <row r="538" spans="1:19" x14ac:dyDescent="0.25">
      <c r="A538">
        <v>2010108309</v>
      </c>
      <c r="B538" t="s">
        <v>28</v>
      </c>
      <c r="C538" t="s">
        <v>29</v>
      </c>
      <c r="D538" t="s">
        <v>1304</v>
      </c>
      <c r="E538" t="s">
        <v>1305</v>
      </c>
      <c r="F538" t="e">
        <f>--ds-btn-active-danger-shadow</f>
        <v>#NAME?</v>
      </c>
      <c r="G538" t="s">
        <v>68</v>
      </c>
      <c r="H538" t="s">
        <v>68</v>
      </c>
      <c r="I538" t="s">
        <v>32</v>
      </c>
      <c r="J538" t="s">
        <v>69</v>
      </c>
      <c r="K538" t="s">
        <v>1159</v>
      </c>
      <c r="L538" t="s">
        <v>161</v>
      </c>
      <c r="M538" t="s">
        <v>70</v>
      </c>
      <c r="N538" t="s">
        <v>1286</v>
      </c>
      <c r="O538">
        <v>1</v>
      </c>
      <c r="P538">
        <v>0</v>
      </c>
      <c r="Q538">
        <v>0</v>
      </c>
      <c r="R538" s="1">
        <v>46195.673414351855</v>
      </c>
      <c r="S538" s="1">
        <v>46205.869872685187</v>
      </c>
    </row>
    <row r="539" spans="1:19" x14ac:dyDescent="0.25">
      <c r="A539">
        <v>2010108310</v>
      </c>
      <c r="B539" t="s">
        <v>28</v>
      </c>
      <c r="C539" t="s">
        <v>29</v>
      </c>
      <c r="D539" t="s">
        <v>1306</v>
      </c>
      <c r="E539" t="s">
        <v>1307</v>
      </c>
      <c r="F539" t="e">
        <f>--ds-btn-active-danger-radius</f>
        <v>#NAME?</v>
      </c>
      <c r="G539" t="s">
        <v>73</v>
      </c>
      <c r="H539" t="s">
        <v>73</v>
      </c>
      <c r="I539" t="s">
        <v>32</v>
      </c>
      <c r="J539" t="s">
        <v>69</v>
      </c>
      <c r="K539" t="s">
        <v>1159</v>
      </c>
      <c r="L539" t="s">
        <v>161</v>
      </c>
      <c r="M539" t="s">
        <v>74</v>
      </c>
      <c r="N539" t="s">
        <v>1286</v>
      </c>
      <c r="O539">
        <v>1</v>
      </c>
      <c r="P539">
        <v>0</v>
      </c>
      <c r="Q539">
        <v>0</v>
      </c>
      <c r="R539" s="1">
        <v>46195.673414351855</v>
      </c>
      <c r="S539" s="1">
        <v>46205.869872685187</v>
      </c>
    </row>
    <row r="540" spans="1:19" x14ac:dyDescent="0.25">
      <c r="A540">
        <v>2010108311</v>
      </c>
      <c r="B540" t="s">
        <v>28</v>
      </c>
      <c r="C540" t="s">
        <v>29</v>
      </c>
      <c r="D540" t="s">
        <v>1308</v>
      </c>
      <c r="E540" t="s">
        <v>1309</v>
      </c>
      <c r="F540" t="e">
        <f>--ds-btn-active-danger-padding-x</f>
        <v>#NAME?</v>
      </c>
      <c r="G540" t="s">
        <v>77</v>
      </c>
      <c r="H540" t="s">
        <v>77</v>
      </c>
      <c r="I540" t="s">
        <v>32</v>
      </c>
      <c r="J540" t="s">
        <v>78</v>
      </c>
      <c r="K540" t="s">
        <v>1159</v>
      </c>
      <c r="L540" t="s">
        <v>161</v>
      </c>
      <c r="M540" t="s">
        <v>79</v>
      </c>
      <c r="N540" t="s">
        <v>1286</v>
      </c>
      <c r="O540">
        <v>1</v>
      </c>
      <c r="P540">
        <v>0</v>
      </c>
      <c r="Q540">
        <v>0</v>
      </c>
      <c r="R540" s="1">
        <v>46195.673414351855</v>
      </c>
      <c r="S540" s="1">
        <v>46205.869872685187</v>
      </c>
    </row>
    <row r="541" spans="1:19" x14ac:dyDescent="0.25">
      <c r="A541">
        <v>2010108312</v>
      </c>
      <c r="B541" t="s">
        <v>28</v>
      </c>
      <c r="C541" t="s">
        <v>29</v>
      </c>
      <c r="D541" t="s">
        <v>1310</v>
      </c>
      <c r="E541" t="s">
        <v>1311</v>
      </c>
      <c r="F541" t="e">
        <f>--ds-btn-active-danger-padding-y</f>
        <v>#NAME?</v>
      </c>
      <c r="G541" t="s">
        <v>82</v>
      </c>
      <c r="H541" t="s">
        <v>82</v>
      </c>
      <c r="I541" t="s">
        <v>32</v>
      </c>
      <c r="J541" t="s">
        <v>78</v>
      </c>
      <c r="K541" t="s">
        <v>1159</v>
      </c>
      <c r="L541" t="s">
        <v>161</v>
      </c>
      <c r="M541" t="s">
        <v>83</v>
      </c>
      <c r="N541" t="s">
        <v>1286</v>
      </c>
      <c r="O541">
        <v>1</v>
      </c>
      <c r="P541">
        <v>0</v>
      </c>
      <c r="Q541">
        <v>0</v>
      </c>
      <c r="R541" s="1">
        <v>46195.673414351855</v>
      </c>
      <c r="S541" s="1">
        <v>46205.869872685187</v>
      </c>
    </row>
    <row r="542" spans="1:19" x14ac:dyDescent="0.25">
      <c r="A542">
        <v>2010108313</v>
      </c>
      <c r="B542" t="s">
        <v>28</v>
      </c>
      <c r="C542" t="s">
        <v>29</v>
      </c>
      <c r="D542" t="s">
        <v>1312</v>
      </c>
      <c r="E542" t="s">
        <v>1313</v>
      </c>
      <c r="F542" t="e">
        <f>--ds-btn-active-danger-gap</f>
        <v>#NAME?</v>
      </c>
      <c r="G542" t="s">
        <v>86</v>
      </c>
      <c r="H542" t="s">
        <v>86</v>
      </c>
      <c r="I542" t="s">
        <v>32</v>
      </c>
      <c r="J542" t="s">
        <v>78</v>
      </c>
      <c r="K542" t="s">
        <v>1159</v>
      </c>
      <c r="L542" t="s">
        <v>161</v>
      </c>
      <c r="M542" t="s">
        <v>87</v>
      </c>
      <c r="N542" t="s">
        <v>1286</v>
      </c>
      <c r="O542">
        <v>1</v>
      </c>
      <c r="P542">
        <v>0</v>
      </c>
      <c r="Q542">
        <v>0</v>
      </c>
      <c r="R542" s="1">
        <v>46195.673414351855</v>
      </c>
      <c r="S542" s="1">
        <v>46205.869872685187</v>
      </c>
    </row>
    <row r="543" spans="1:19" x14ac:dyDescent="0.25">
      <c r="A543">
        <v>2010108314</v>
      </c>
      <c r="B543" t="s">
        <v>28</v>
      </c>
      <c r="C543" t="s">
        <v>29</v>
      </c>
      <c r="D543" t="s">
        <v>1314</v>
      </c>
      <c r="E543" t="s">
        <v>1315</v>
      </c>
      <c r="F543" t="e">
        <f>--ds-btn-active-danger-focus-ring</f>
        <v>#NAME?</v>
      </c>
      <c r="G543" t="s">
        <v>1316</v>
      </c>
      <c r="H543" t="s">
        <v>1316</v>
      </c>
      <c r="I543" t="s">
        <v>32</v>
      </c>
      <c r="J543" t="s">
        <v>69</v>
      </c>
      <c r="K543" t="s">
        <v>1159</v>
      </c>
      <c r="L543" t="s">
        <v>161</v>
      </c>
      <c r="M543" t="s">
        <v>91</v>
      </c>
      <c r="N543" t="s">
        <v>1286</v>
      </c>
      <c r="O543">
        <v>1</v>
      </c>
      <c r="P543">
        <v>0</v>
      </c>
      <c r="Q543">
        <v>0</v>
      </c>
      <c r="R543" s="1">
        <v>46195.673414351855</v>
      </c>
      <c r="S543" s="1">
        <v>46205.869872685187</v>
      </c>
    </row>
    <row r="544" spans="1:19" x14ac:dyDescent="0.25">
      <c r="A544">
        <v>2010108315</v>
      </c>
      <c r="B544" t="s">
        <v>28</v>
      </c>
      <c r="C544" t="s">
        <v>29</v>
      </c>
      <c r="D544" t="s">
        <v>1317</v>
      </c>
      <c r="E544" t="s">
        <v>1318</v>
      </c>
      <c r="F544" t="e">
        <f>--ds-btn-active-danger-outline</f>
        <v>#NAME?</v>
      </c>
      <c r="G544" t="s">
        <v>94</v>
      </c>
      <c r="H544" t="s">
        <v>94</v>
      </c>
      <c r="I544" t="s">
        <v>32</v>
      </c>
      <c r="J544" t="s">
        <v>69</v>
      </c>
      <c r="K544" t="s">
        <v>1159</v>
      </c>
      <c r="L544" t="s">
        <v>161</v>
      </c>
      <c r="M544" t="s">
        <v>95</v>
      </c>
      <c r="N544" t="s">
        <v>1286</v>
      </c>
      <c r="O544">
        <v>1</v>
      </c>
      <c r="P544">
        <v>0</v>
      </c>
      <c r="Q544">
        <v>0</v>
      </c>
      <c r="R544" s="1">
        <v>46195.673414351855</v>
      </c>
      <c r="S544" s="1">
        <v>46205.869872685187</v>
      </c>
    </row>
    <row r="545" spans="1:19" x14ac:dyDescent="0.25">
      <c r="A545">
        <v>2010108316</v>
      </c>
      <c r="B545" t="s">
        <v>28</v>
      </c>
      <c r="C545" t="s">
        <v>29</v>
      </c>
      <c r="D545" t="s">
        <v>1319</v>
      </c>
      <c r="E545" t="s">
        <v>1320</v>
      </c>
      <c r="F545" t="e">
        <f>--ds-btn-active-danger-transition</f>
        <v>#NAME?</v>
      </c>
      <c r="G545" t="s">
        <v>98</v>
      </c>
      <c r="H545" t="s">
        <v>98</v>
      </c>
      <c r="I545" t="s">
        <v>32</v>
      </c>
      <c r="J545" t="s">
        <v>69</v>
      </c>
      <c r="K545" t="s">
        <v>1159</v>
      </c>
      <c r="L545" t="s">
        <v>161</v>
      </c>
      <c r="M545" t="s">
        <v>99</v>
      </c>
      <c r="N545" t="s">
        <v>1286</v>
      </c>
      <c r="O545">
        <v>1</v>
      </c>
      <c r="P545">
        <v>0</v>
      </c>
      <c r="Q545">
        <v>0</v>
      </c>
      <c r="R545" s="1">
        <v>46195.673414351855</v>
      </c>
      <c r="S545" s="1">
        <v>46205.869872685187</v>
      </c>
    </row>
    <row r="546" spans="1:19" x14ac:dyDescent="0.25">
      <c r="A546">
        <v>2010108317</v>
      </c>
      <c r="B546" t="s">
        <v>28</v>
      </c>
      <c r="C546" t="s">
        <v>29</v>
      </c>
      <c r="D546" t="s">
        <v>1321</v>
      </c>
      <c r="E546" t="s">
        <v>1322</v>
      </c>
      <c r="F546" t="e">
        <f>--ds-btn-active-danger-icon-color</f>
        <v>#NAME?</v>
      </c>
      <c r="G546" t="s">
        <v>37</v>
      </c>
      <c r="H546" t="s">
        <v>37</v>
      </c>
      <c r="I546" t="s">
        <v>32</v>
      </c>
      <c r="J546" t="s">
        <v>24</v>
      </c>
      <c r="K546" t="s">
        <v>1159</v>
      </c>
      <c r="L546" t="s">
        <v>161</v>
      </c>
      <c r="M546" t="s">
        <v>102</v>
      </c>
      <c r="N546" t="s">
        <v>1286</v>
      </c>
      <c r="O546">
        <v>1</v>
      </c>
      <c r="P546">
        <v>0</v>
      </c>
      <c r="Q546">
        <v>0</v>
      </c>
      <c r="R546" s="1">
        <v>46195.673414351855</v>
      </c>
      <c r="S546" s="1">
        <v>46205.869872685187</v>
      </c>
    </row>
    <row r="547" spans="1:19" x14ac:dyDescent="0.25">
      <c r="A547">
        <v>2010108318</v>
      </c>
      <c r="B547" t="s">
        <v>28</v>
      </c>
      <c r="C547" t="s">
        <v>29</v>
      </c>
      <c r="D547" t="s">
        <v>1323</v>
      </c>
      <c r="E547" t="s">
        <v>1324</v>
      </c>
      <c r="F547" t="e">
        <f>--ds-btn-active-danger-icon-size</f>
        <v>#NAME?</v>
      </c>
      <c r="G547" t="s">
        <v>105</v>
      </c>
      <c r="H547" t="s">
        <v>105</v>
      </c>
      <c r="I547" t="s">
        <v>32</v>
      </c>
      <c r="J547" t="s">
        <v>78</v>
      </c>
      <c r="K547" t="s">
        <v>1159</v>
      </c>
      <c r="L547" t="s">
        <v>161</v>
      </c>
      <c r="M547" t="s">
        <v>106</v>
      </c>
      <c r="N547" t="s">
        <v>1286</v>
      </c>
      <c r="O547">
        <v>1</v>
      </c>
      <c r="P547">
        <v>0</v>
      </c>
      <c r="Q547">
        <v>0</v>
      </c>
      <c r="R547" s="1">
        <v>46195.673414351855</v>
      </c>
      <c r="S547" s="1">
        <v>46205.869872685187</v>
      </c>
    </row>
    <row r="548" spans="1:19" x14ac:dyDescent="0.25">
      <c r="A548">
        <v>2010108319</v>
      </c>
      <c r="B548" t="s">
        <v>28</v>
      </c>
      <c r="C548" t="s">
        <v>29</v>
      </c>
      <c r="D548" t="s">
        <v>1325</v>
      </c>
      <c r="E548" t="s">
        <v>1326</v>
      </c>
      <c r="F548" t="e">
        <f>--ds-btn-active-danger-line-height</f>
        <v>#NAME?</v>
      </c>
      <c r="G548">
        <v>1.2</v>
      </c>
      <c r="H548">
        <v>1.2</v>
      </c>
      <c r="I548" t="s">
        <v>32</v>
      </c>
      <c r="J548" t="s">
        <v>78</v>
      </c>
      <c r="K548" t="s">
        <v>1159</v>
      </c>
      <c r="L548" t="s">
        <v>161</v>
      </c>
      <c r="M548" t="s">
        <v>109</v>
      </c>
      <c r="N548" t="s">
        <v>1286</v>
      </c>
      <c r="O548">
        <v>1</v>
      </c>
      <c r="P548">
        <v>0</v>
      </c>
      <c r="Q548">
        <v>0</v>
      </c>
      <c r="R548" s="1">
        <v>46195.673414351855</v>
      </c>
      <c r="S548" s="1">
        <v>46205.869872685187</v>
      </c>
    </row>
    <row r="549" spans="1:19" x14ac:dyDescent="0.25">
      <c r="A549">
        <v>2010108400</v>
      </c>
      <c r="B549" t="s">
        <v>28</v>
      </c>
      <c r="C549" t="s">
        <v>29</v>
      </c>
      <c r="D549" t="s">
        <v>1327</v>
      </c>
      <c r="E549" t="s">
        <v>1328</v>
      </c>
      <c r="F549" t="e">
        <f>--ds-btn-active-warning-bg</f>
        <v>#NAME?</v>
      </c>
      <c r="G549" t="s">
        <v>182</v>
      </c>
      <c r="H549" t="s">
        <v>182</v>
      </c>
      <c r="I549" t="s">
        <v>32</v>
      </c>
      <c r="J549" t="s">
        <v>24</v>
      </c>
      <c r="K549" t="s">
        <v>1159</v>
      </c>
      <c r="L549" t="s">
        <v>183</v>
      </c>
      <c r="M549" t="s">
        <v>26</v>
      </c>
      <c r="N549" t="s">
        <v>1329</v>
      </c>
      <c r="O549">
        <v>1</v>
      </c>
      <c r="P549">
        <v>1</v>
      </c>
      <c r="Q549">
        <v>0</v>
      </c>
      <c r="R549" s="1">
        <v>46195.674351851849</v>
      </c>
      <c r="S549" s="1">
        <v>46205.869872685187</v>
      </c>
    </row>
    <row r="550" spans="1:19" x14ac:dyDescent="0.25">
      <c r="A550">
        <v>2010108401</v>
      </c>
      <c r="B550" t="s">
        <v>28</v>
      </c>
      <c r="C550" t="s">
        <v>29</v>
      </c>
      <c r="D550" t="s">
        <v>1330</v>
      </c>
      <c r="E550" t="s">
        <v>1331</v>
      </c>
      <c r="F550" t="e">
        <f>--ds-btn-active-warning-text</f>
        <v>#NAME?</v>
      </c>
      <c r="G550" t="s">
        <v>117</v>
      </c>
      <c r="H550" t="s">
        <v>117</v>
      </c>
      <c r="I550" t="s">
        <v>32</v>
      </c>
      <c r="J550" t="s">
        <v>24</v>
      </c>
      <c r="K550" t="s">
        <v>1159</v>
      </c>
      <c r="L550" t="s">
        <v>183</v>
      </c>
      <c r="M550" t="s">
        <v>38</v>
      </c>
      <c r="N550" t="s">
        <v>1329</v>
      </c>
      <c r="O550">
        <v>1</v>
      </c>
      <c r="P550">
        <v>1</v>
      </c>
      <c r="Q550">
        <v>0</v>
      </c>
      <c r="R550" s="1">
        <v>46195.674351851849</v>
      </c>
      <c r="S550" s="1">
        <v>46205.869872685187</v>
      </c>
    </row>
    <row r="551" spans="1:19" x14ac:dyDescent="0.25">
      <c r="A551">
        <v>2010108402</v>
      </c>
      <c r="B551" t="s">
        <v>28</v>
      </c>
      <c r="C551" t="s">
        <v>29</v>
      </c>
      <c r="D551" t="s">
        <v>1332</v>
      </c>
      <c r="E551" t="s">
        <v>1333</v>
      </c>
      <c r="F551" t="e">
        <f>--ds-btn-active-warning-border</f>
        <v>#NAME?</v>
      </c>
      <c r="G551" t="s">
        <v>182</v>
      </c>
      <c r="H551" t="s">
        <v>182</v>
      </c>
      <c r="I551" t="s">
        <v>32</v>
      </c>
      <c r="J551" t="s">
        <v>24</v>
      </c>
      <c r="K551" t="s">
        <v>1159</v>
      </c>
      <c r="L551" t="s">
        <v>183</v>
      </c>
      <c r="M551" t="s">
        <v>42</v>
      </c>
      <c r="N551" t="s">
        <v>1329</v>
      </c>
      <c r="O551">
        <v>1</v>
      </c>
      <c r="P551">
        <v>1</v>
      </c>
      <c r="Q551">
        <v>0</v>
      </c>
      <c r="R551" s="1">
        <v>46195.674351851849</v>
      </c>
      <c r="S551" s="1">
        <v>46205.869872685187</v>
      </c>
    </row>
    <row r="552" spans="1:19" x14ac:dyDescent="0.25">
      <c r="A552">
        <v>2010108403</v>
      </c>
      <c r="B552" t="s">
        <v>28</v>
      </c>
      <c r="C552" t="s">
        <v>29</v>
      </c>
      <c r="D552" t="s">
        <v>1334</v>
      </c>
      <c r="E552" t="s">
        <v>1335</v>
      </c>
      <c r="F552" t="e">
        <f>--ds-btn-active-warning-hover-bg</f>
        <v>#NAME?</v>
      </c>
      <c r="G552" t="s">
        <v>191</v>
      </c>
      <c r="H552" t="s">
        <v>191</v>
      </c>
      <c r="I552" t="s">
        <v>32</v>
      </c>
      <c r="J552" t="s">
        <v>24</v>
      </c>
      <c r="K552" t="s">
        <v>1159</v>
      </c>
      <c r="L552" t="s">
        <v>183</v>
      </c>
      <c r="M552" t="s">
        <v>46</v>
      </c>
      <c r="N552" t="s">
        <v>1329</v>
      </c>
      <c r="O552">
        <v>1</v>
      </c>
      <c r="P552">
        <v>1</v>
      </c>
      <c r="Q552">
        <v>0</v>
      </c>
      <c r="R552" s="1">
        <v>46195.674351851849</v>
      </c>
      <c r="S552" s="1">
        <v>46205.869872685187</v>
      </c>
    </row>
    <row r="553" spans="1:19" x14ac:dyDescent="0.25">
      <c r="A553">
        <v>2010108404</v>
      </c>
      <c r="B553" t="s">
        <v>28</v>
      </c>
      <c r="C553" t="s">
        <v>29</v>
      </c>
      <c r="D553" t="s">
        <v>1336</v>
      </c>
      <c r="E553" t="s">
        <v>1337</v>
      </c>
      <c r="F553" t="e">
        <f>--ds-btn-active-warning-hover-text</f>
        <v>#NAME?</v>
      </c>
      <c r="G553" t="s">
        <v>117</v>
      </c>
      <c r="H553" t="s">
        <v>117</v>
      </c>
      <c r="I553" t="s">
        <v>32</v>
      </c>
      <c r="J553" t="s">
        <v>24</v>
      </c>
      <c r="K553" t="s">
        <v>1159</v>
      </c>
      <c r="L553" t="s">
        <v>183</v>
      </c>
      <c r="M553" t="s">
        <v>49</v>
      </c>
      <c r="N553" t="s">
        <v>1329</v>
      </c>
      <c r="O553">
        <v>1</v>
      </c>
      <c r="P553">
        <v>1</v>
      </c>
      <c r="Q553">
        <v>0</v>
      </c>
      <c r="R553" s="1">
        <v>46195.674351851849</v>
      </c>
      <c r="S553" s="1">
        <v>46205.869872685187</v>
      </c>
    </row>
    <row r="554" spans="1:19" x14ac:dyDescent="0.25">
      <c r="A554">
        <v>2010108405</v>
      </c>
      <c r="B554" t="s">
        <v>28</v>
      </c>
      <c r="C554" t="s">
        <v>29</v>
      </c>
      <c r="D554" t="s">
        <v>1338</v>
      </c>
      <c r="E554" t="s">
        <v>1339</v>
      </c>
      <c r="F554" t="e">
        <f>--ds-btn-active-warning-hover-border</f>
        <v>#NAME?</v>
      </c>
      <c r="G554" t="s">
        <v>999</v>
      </c>
      <c r="H554" t="s">
        <v>999</v>
      </c>
      <c r="I554" t="s">
        <v>32</v>
      </c>
      <c r="J554" t="s">
        <v>24</v>
      </c>
      <c r="K554" t="s">
        <v>1159</v>
      </c>
      <c r="L554" t="s">
        <v>183</v>
      </c>
      <c r="M554" t="s">
        <v>53</v>
      </c>
      <c r="N554" t="s">
        <v>1329</v>
      </c>
      <c r="O554">
        <v>1</v>
      </c>
      <c r="P554">
        <v>1</v>
      </c>
      <c r="Q554">
        <v>0</v>
      </c>
      <c r="R554" s="1">
        <v>46195.674351851849</v>
      </c>
      <c r="S554" s="1">
        <v>46205.869872685187</v>
      </c>
    </row>
    <row r="555" spans="1:19" x14ac:dyDescent="0.25">
      <c r="A555">
        <v>2010108406</v>
      </c>
      <c r="B555" t="s">
        <v>28</v>
      </c>
      <c r="C555" t="s">
        <v>29</v>
      </c>
      <c r="D555" t="s">
        <v>1340</v>
      </c>
      <c r="E555" t="s">
        <v>1341</v>
      </c>
      <c r="F555" t="e">
        <f>--ds-btn-active-warning-disabled-bg</f>
        <v>#NAME?</v>
      </c>
      <c r="G555" t="s">
        <v>507</v>
      </c>
      <c r="H555" t="s">
        <v>507</v>
      </c>
      <c r="I555" t="s">
        <v>32</v>
      </c>
      <c r="J555" t="s">
        <v>24</v>
      </c>
      <c r="K555" t="s">
        <v>1159</v>
      </c>
      <c r="L555" t="s">
        <v>183</v>
      </c>
      <c r="M555" t="s">
        <v>57</v>
      </c>
      <c r="N555" t="s">
        <v>1329</v>
      </c>
      <c r="O555">
        <v>1</v>
      </c>
      <c r="P555">
        <v>1</v>
      </c>
      <c r="Q555">
        <v>0</v>
      </c>
      <c r="R555" s="1">
        <v>46195.674351851849</v>
      </c>
      <c r="S555" s="1">
        <v>46205.869872685187</v>
      </c>
    </row>
    <row r="556" spans="1:19" x14ac:dyDescent="0.25">
      <c r="A556">
        <v>2010108407</v>
      </c>
      <c r="B556" t="s">
        <v>28</v>
      </c>
      <c r="C556" t="s">
        <v>29</v>
      </c>
      <c r="D556" t="s">
        <v>1342</v>
      </c>
      <c r="E556" t="s">
        <v>1343</v>
      </c>
      <c r="F556" t="e">
        <f>--ds-btn-active-warning-disabled-text</f>
        <v>#NAME?</v>
      </c>
      <c r="G556" t="s">
        <v>60</v>
      </c>
      <c r="H556" t="s">
        <v>60</v>
      </c>
      <c r="I556" t="s">
        <v>32</v>
      </c>
      <c r="J556" t="s">
        <v>24</v>
      </c>
      <c r="K556" t="s">
        <v>1159</v>
      </c>
      <c r="L556" t="s">
        <v>183</v>
      </c>
      <c r="M556" t="s">
        <v>61</v>
      </c>
      <c r="N556" t="s">
        <v>1329</v>
      </c>
      <c r="O556">
        <v>1</v>
      </c>
      <c r="P556">
        <v>1</v>
      </c>
      <c r="Q556">
        <v>0</v>
      </c>
      <c r="R556" s="1">
        <v>46195.674351851849</v>
      </c>
      <c r="S556" s="1">
        <v>46205.869872685187</v>
      </c>
    </row>
    <row r="557" spans="1:19" x14ac:dyDescent="0.25">
      <c r="A557">
        <v>2010108408</v>
      </c>
      <c r="B557" t="s">
        <v>28</v>
      </c>
      <c r="C557" t="s">
        <v>29</v>
      </c>
      <c r="D557" t="s">
        <v>1344</v>
      </c>
      <c r="E557" t="s">
        <v>1345</v>
      </c>
      <c r="F557" t="e">
        <f>--ds-btn-active-warning-disabled-border</f>
        <v>#NAME?</v>
      </c>
      <c r="G557" t="s">
        <v>1346</v>
      </c>
      <c r="H557" t="s">
        <v>1346</v>
      </c>
      <c r="I557" t="s">
        <v>32</v>
      </c>
      <c r="J557" t="s">
        <v>24</v>
      </c>
      <c r="K557" t="s">
        <v>1159</v>
      </c>
      <c r="L557" t="s">
        <v>183</v>
      </c>
      <c r="M557" t="s">
        <v>65</v>
      </c>
      <c r="N557" t="s">
        <v>1329</v>
      </c>
      <c r="O557">
        <v>1</v>
      </c>
      <c r="P557">
        <v>1</v>
      </c>
      <c r="Q557">
        <v>0</v>
      </c>
      <c r="R557" s="1">
        <v>46195.674351851849</v>
      </c>
      <c r="S557" s="1">
        <v>46205.869872685187</v>
      </c>
    </row>
    <row r="558" spans="1:19" x14ac:dyDescent="0.25">
      <c r="A558">
        <v>2010108409</v>
      </c>
      <c r="B558" t="s">
        <v>28</v>
      </c>
      <c r="C558" t="s">
        <v>29</v>
      </c>
      <c r="D558" t="s">
        <v>1347</v>
      </c>
      <c r="E558" t="s">
        <v>1348</v>
      </c>
      <c r="F558" t="e">
        <f>--ds-btn-active-warning-shadow</f>
        <v>#NAME?</v>
      </c>
      <c r="G558" t="s">
        <v>68</v>
      </c>
      <c r="H558" t="s">
        <v>68</v>
      </c>
      <c r="I558" t="s">
        <v>32</v>
      </c>
      <c r="J558" t="s">
        <v>69</v>
      </c>
      <c r="K558" t="s">
        <v>1159</v>
      </c>
      <c r="L558" t="s">
        <v>183</v>
      </c>
      <c r="M558" t="s">
        <v>70</v>
      </c>
      <c r="N558" t="s">
        <v>1329</v>
      </c>
      <c r="O558">
        <v>1</v>
      </c>
      <c r="P558">
        <v>0</v>
      </c>
      <c r="Q558">
        <v>0</v>
      </c>
      <c r="R558" s="1">
        <v>46195.674351851849</v>
      </c>
      <c r="S558" s="1">
        <v>46205.869872685187</v>
      </c>
    </row>
    <row r="559" spans="1:19" x14ac:dyDescent="0.25">
      <c r="A559">
        <v>2010108410</v>
      </c>
      <c r="B559" t="s">
        <v>28</v>
      </c>
      <c r="C559" t="s">
        <v>29</v>
      </c>
      <c r="D559" t="s">
        <v>1349</v>
      </c>
      <c r="E559" t="s">
        <v>1350</v>
      </c>
      <c r="F559" t="e">
        <f>--ds-btn-active-warning-radius</f>
        <v>#NAME?</v>
      </c>
      <c r="G559" t="s">
        <v>73</v>
      </c>
      <c r="H559" t="s">
        <v>73</v>
      </c>
      <c r="I559" t="s">
        <v>32</v>
      </c>
      <c r="J559" t="s">
        <v>69</v>
      </c>
      <c r="K559" t="s">
        <v>1159</v>
      </c>
      <c r="L559" t="s">
        <v>183</v>
      </c>
      <c r="M559" t="s">
        <v>74</v>
      </c>
      <c r="N559" t="s">
        <v>1329</v>
      </c>
      <c r="O559">
        <v>1</v>
      </c>
      <c r="P559">
        <v>0</v>
      </c>
      <c r="Q559">
        <v>0</v>
      </c>
      <c r="R559" s="1">
        <v>46195.674351851849</v>
      </c>
      <c r="S559" s="1">
        <v>46205.869872685187</v>
      </c>
    </row>
    <row r="560" spans="1:19" x14ac:dyDescent="0.25">
      <c r="A560">
        <v>2010108411</v>
      </c>
      <c r="B560" t="s">
        <v>28</v>
      </c>
      <c r="C560" t="s">
        <v>29</v>
      </c>
      <c r="D560" t="s">
        <v>1351</v>
      </c>
      <c r="E560" t="s">
        <v>1352</v>
      </c>
      <c r="F560" t="e">
        <f>--ds-btn-active-warning-padding-x</f>
        <v>#NAME?</v>
      </c>
      <c r="G560" t="s">
        <v>77</v>
      </c>
      <c r="H560" t="s">
        <v>77</v>
      </c>
      <c r="I560" t="s">
        <v>32</v>
      </c>
      <c r="J560" t="s">
        <v>78</v>
      </c>
      <c r="K560" t="s">
        <v>1159</v>
      </c>
      <c r="L560" t="s">
        <v>183</v>
      </c>
      <c r="M560" t="s">
        <v>79</v>
      </c>
      <c r="N560" t="s">
        <v>1329</v>
      </c>
      <c r="O560">
        <v>1</v>
      </c>
      <c r="P560">
        <v>0</v>
      </c>
      <c r="Q560">
        <v>0</v>
      </c>
      <c r="R560" s="1">
        <v>46195.674351851849</v>
      </c>
      <c r="S560" s="1">
        <v>46205.869872685187</v>
      </c>
    </row>
    <row r="561" spans="1:19" x14ac:dyDescent="0.25">
      <c r="A561">
        <v>2010108412</v>
      </c>
      <c r="B561" t="s">
        <v>28</v>
      </c>
      <c r="C561" t="s">
        <v>29</v>
      </c>
      <c r="D561" t="s">
        <v>1353</v>
      </c>
      <c r="E561" t="s">
        <v>1354</v>
      </c>
      <c r="F561" t="e">
        <f>--ds-btn-active-warning-padding-y</f>
        <v>#NAME?</v>
      </c>
      <c r="G561" t="s">
        <v>82</v>
      </c>
      <c r="H561" t="s">
        <v>82</v>
      </c>
      <c r="I561" t="s">
        <v>32</v>
      </c>
      <c r="J561" t="s">
        <v>78</v>
      </c>
      <c r="K561" t="s">
        <v>1159</v>
      </c>
      <c r="L561" t="s">
        <v>183</v>
      </c>
      <c r="M561" t="s">
        <v>83</v>
      </c>
      <c r="N561" t="s">
        <v>1329</v>
      </c>
      <c r="O561">
        <v>1</v>
      </c>
      <c r="P561">
        <v>0</v>
      </c>
      <c r="Q561">
        <v>0</v>
      </c>
      <c r="R561" s="1">
        <v>46195.674351851849</v>
      </c>
      <c r="S561" s="1">
        <v>46205.869872685187</v>
      </c>
    </row>
    <row r="562" spans="1:19" x14ac:dyDescent="0.25">
      <c r="A562">
        <v>2010108413</v>
      </c>
      <c r="B562" t="s">
        <v>28</v>
      </c>
      <c r="C562" t="s">
        <v>29</v>
      </c>
      <c r="D562" t="s">
        <v>1355</v>
      </c>
      <c r="E562" t="s">
        <v>1356</v>
      </c>
      <c r="F562" t="e">
        <f>--ds-btn-active-warning-gap</f>
        <v>#NAME?</v>
      </c>
      <c r="G562" t="s">
        <v>86</v>
      </c>
      <c r="H562" t="s">
        <v>86</v>
      </c>
      <c r="I562" t="s">
        <v>32</v>
      </c>
      <c r="J562" t="s">
        <v>78</v>
      </c>
      <c r="K562" t="s">
        <v>1159</v>
      </c>
      <c r="L562" t="s">
        <v>183</v>
      </c>
      <c r="M562" t="s">
        <v>87</v>
      </c>
      <c r="N562" t="s">
        <v>1329</v>
      </c>
      <c r="O562">
        <v>1</v>
      </c>
      <c r="P562">
        <v>0</v>
      </c>
      <c r="Q562">
        <v>0</v>
      </c>
      <c r="R562" s="1">
        <v>46195.674351851849</v>
      </c>
      <c r="S562" s="1">
        <v>46205.869872685187</v>
      </c>
    </row>
    <row r="563" spans="1:19" x14ac:dyDescent="0.25">
      <c r="A563">
        <v>2010108414</v>
      </c>
      <c r="B563" t="s">
        <v>28</v>
      </c>
      <c r="C563" t="s">
        <v>29</v>
      </c>
      <c r="D563" t="s">
        <v>1357</v>
      </c>
      <c r="E563" t="s">
        <v>1358</v>
      </c>
      <c r="F563" t="e">
        <f>--ds-btn-active-warning-focus-ring</f>
        <v>#NAME?</v>
      </c>
      <c r="G563" t="s">
        <v>1359</v>
      </c>
      <c r="H563" t="s">
        <v>1359</v>
      </c>
      <c r="I563" t="s">
        <v>32</v>
      </c>
      <c r="J563" t="s">
        <v>69</v>
      </c>
      <c r="K563" t="s">
        <v>1159</v>
      </c>
      <c r="L563" t="s">
        <v>183</v>
      </c>
      <c r="M563" t="s">
        <v>91</v>
      </c>
      <c r="N563" t="s">
        <v>1329</v>
      </c>
      <c r="O563">
        <v>1</v>
      </c>
      <c r="P563">
        <v>0</v>
      </c>
      <c r="Q563">
        <v>0</v>
      </c>
      <c r="R563" s="1">
        <v>46195.674351851849</v>
      </c>
      <c r="S563" s="1">
        <v>46205.869872685187</v>
      </c>
    </row>
    <row r="564" spans="1:19" x14ac:dyDescent="0.25">
      <c r="A564">
        <v>2010108415</v>
      </c>
      <c r="B564" t="s">
        <v>28</v>
      </c>
      <c r="C564" t="s">
        <v>29</v>
      </c>
      <c r="D564" t="s">
        <v>1360</v>
      </c>
      <c r="E564" t="s">
        <v>1361</v>
      </c>
      <c r="F564" t="e">
        <f>--ds-btn-active-warning-outline</f>
        <v>#NAME?</v>
      </c>
      <c r="G564" t="s">
        <v>94</v>
      </c>
      <c r="H564" t="s">
        <v>94</v>
      </c>
      <c r="I564" t="s">
        <v>32</v>
      </c>
      <c r="J564" t="s">
        <v>69</v>
      </c>
      <c r="K564" t="s">
        <v>1159</v>
      </c>
      <c r="L564" t="s">
        <v>183</v>
      </c>
      <c r="M564" t="s">
        <v>95</v>
      </c>
      <c r="N564" t="s">
        <v>1329</v>
      </c>
      <c r="O564">
        <v>1</v>
      </c>
      <c r="P564">
        <v>0</v>
      </c>
      <c r="Q564">
        <v>0</v>
      </c>
      <c r="R564" s="1">
        <v>46195.674351851849</v>
      </c>
      <c r="S564" s="1">
        <v>46205.869872685187</v>
      </c>
    </row>
    <row r="565" spans="1:19" x14ac:dyDescent="0.25">
      <c r="A565">
        <v>2010108416</v>
      </c>
      <c r="B565" t="s">
        <v>28</v>
      </c>
      <c r="C565" t="s">
        <v>29</v>
      </c>
      <c r="D565" t="s">
        <v>1362</v>
      </c>
      <c r="E565" t="s">
        <v>1363</v>
      </c>
      <c r="F565" t="e">
        <f>--ds-btn-active-warning-transition</f>
        <v>#NAME?</v>
      </c>
      <c r="G565" t="s">
        <v>98</v>
      </c>
      <c r="H565" t="s">
        <v>98</v>
      </c>
      <c r="I565" t="s">
        <v>32</v>
      </c>
      <c r="J565" t="s">
        <v>69</v>
      </c>
      <c r="K565" t="s">
        <v>1159</v>
      </c>
      <c r="L565" t="s">
        <v>183</v>
      </c>
      <c r="M565" t="s">
        <v>99</v>
      </c>
      <c r="N565" t="s">
        <v>1329</v>
      </c>
      <c r="O565">
        <v>1</v>
      </c>
      <c r="P565">
        <v>0</v>
      </c>
      <c r="Q565">
        <v>0</v>
      </c>
      <c r="R565" s="1">
        <v>46195.674351851849</v>
      </c>
      <c r="S565" s="1">
        <v>46205.869872685187</v>
      </c>
    </row>
    <row r="566" spans="1:19" x14ac:dyDescent="0.25">
      <c r="A566">
        <v>2010108417</v>
      </c>
      <c r="B566" t="s">
        <v>28</v>
      </c>
      <c r="C566" t="s">
        <v>29</v>
      </c>
      <c r="D566" t="s">
        <v>1364</v>
      </c>
      <c r="E566" t="s">
        <v>1365</v>
      </c>
      <c r="F566" t="e">
        <f>--ds-btn-active-warning-icon-color</f>
        <v>#NAME?</v>
      </c>
      <c r="G566" t="s">
        <v>117</v>
      </c>
      <c r="H566" t="s">
        <v>117</v>
      </c>
      <c r="I566" t="s">
        <v>32</v>
      </c>
      <c r="J566" t="s">
        <v>24</v>
      </c>
      <c r="K566" t="s">
        <v>1159</v>
      </c>
      <c r="L566" t="s">
        <v>183</v>
      </c>
      <c r="M566" t="s">
        <v>102</v>
      </c>
      <c r="N566" t="s">
        <v>1329</v>
      </c>
      <c r="O566">
        <v>1</v>
      </c>
      <c r="P566">
        <v>0</v>
      </c>
      <c r="Q566">
        <v>0</v>
      </c>
      <c r="R566" s="1">
        <v>46195.674351851849</v>
      </c>
      <c r="S566" s="1">
        <v>46205.869872685187</v>
      </c>
    </row>
    <row r="567" spans="1:19" x14ac:dyDescent="0.25">
      <c r="A567">
        <v>2010108418</v>
      </c>
      <c r="B567" t="s">
        <v>28</v>
      </c>
      <c r="C567" t="s">
        <v>29</v>
      </c>
      <c r="D567" t="s">
        <v>1366</v>
      </c>
      <c r="E567" t="s">
        <v>1367</v>
      </c>
      <c r="F567" t="e">
        <f>--ds-btn-active-warning-icon-size</f>
        <v>#NAME?</v>
      </c>
      <c r="G567" t="s">
        <v>105</v>
      </c>
      <c r="H567" t="s">
        <v>105</v>
      </c>
      <c r="I567" t="s">
        <v>32</v>
      </c>
      <c r="J567" t="s">
        <v>78</v>
      </c>
      <c r="K567" t="s">
        <v>1159</v>
      </c>
      <c r="L567" t="s">
        <v>183</v>
      </c>
      <c r="M567" t="s">
        <v>106</v>
      </c>
      <c r="N567" t="s">
        <v>1329</v>
      </c>
      <c r="O567">
        <v>1</v>
      </c>
      <c r="P567">
        <v>0</v>
      </c>
      <c r="Q567">
        <v>0</v>
      </c>
      <c r="R567" s="1">
        <v>46195.674351851849</v>
      </c>
      <c r="S567" s="1">
        <v>46205.869872685187</v>
      </c>
    </row>
    <row r="568" spans="1:19" x14ac:dyDescent="0.25">
      <c r="A568">
        <v>2010108419</v>
      </c>
      <c r="B568" t="s">
        <v>28</v>
      </c>
      <c r="C568" t="s">
        <v>29</v>
      </c>
      <c r="D568" t="s">
        <v>1368</v>
      </c>
      <c r="E568" t="s">
        <v>1369</v>
      </c>
      <c r="F568" t="e">
        <f>--ds-btn-active-warning-line-height</f>
        <v>#NAME?</v>
      </c>
      <c r="G568">
        <v>1.2</v>
      </c>
      <c r="H568">
        <v>1.2</v>
      </c>
      <c r="I568" t="s">
        <v>32</v>
      </c>
      <c r="J568" t="s">
        <v>78</v>
      </c>
      <c r="K568" t="s">
        <v>1159</v>
      </c>
      <c r="L568" t="s">
        <v>183</v>
      </c>
      <c r="M568" t="s">
        <v>109</v>
      </c>
      <c r="N568" t="s">
        <v>1329</v>
      </c>
      <c r="O568">
        <v>1</v>
      </c>
      <c r="P568">
        <v>0</v>
      </c>
      <c r="Q568">
        <v>0</v>
      </c>
      <c r="R568" s="1">
        <v>46195.674351851849</v>
      </c>
      <c r="S568" s="1">
        <v>46205.869872685187</v>
      </c>
    </row>
    <row r="569" spans="1:19" x14ac:dyDescent="0.25">
      <c r="A569">
        <v>2010108500</v>
      </c>
      <c r="B569" t="s">
        <v>28</v>
      </c>
      <c r="C569" t="s">
        <v>29</v>
      </c>
      <c r="D569" t="s">
        <v>1370</v>
      </c>
      <c r="E569" t="s">
        <v>1371</v>
      </c>
      <c r="F569" t="e">
        <f>--ds-btn-active-info-bg</f>
        <v>#NAME?</v>
      </c>
      <c r="G569" t="s">
        <v>204</v>
      </c>
      <c r="H569" t="s">
        <v>204</v>
      </c>
      <c r="I569" t="s">
        <v>32</v>
      </c>
      <c r="J569" t="s">
        <v>24</v>
      </c>
      <c r="K569" t="s">
        <v>1159</v>
      </c>
      <c r="L569" t="s">
        <v>205</v>
      </c>
      <c r="M569" t="s">
        <v>26</v>
      </c>
      <c r="N569" t="s">
        <v>1372</v>
      </c>
      <c r="O569">
        <v>1</v>
      </c>
      <c r="P569">
        <v>1</v>
      </c>
      <c r="Q569">
        <v>0</v>
      </c>
      <c r="R569" s="1">
        <v>46195.675011574072</v>
      </c>
      <c r="S569" s="1">
        <v>46205.869872685187</v>
      </c>
    </row>
    <row r="570" spans="1:19" x14ac:dyDescent="0.25">
      <c r="A570">
        <v>2010108501</v>
      </c>
      <c r="B570" t="s">
        <v>28</v>
      </c>
      <c r="C570" t="s">
        <v>29</v>
      </c>
      <c r="D570" t="s">
        <v>1373</v>
      </c>
      <c r="E570" t="s">
        <v>1374</v>
      </c>
      <c r="F570" t="e">
        <f>--ds-btn-active-info-text</f>
        <v>#NAME?</v>
      </c>
      <c r="G570" t="s">
        <v>117</v>
      </c>
      <c r="H570" t="s">
        <v>117</v>
      </c>
      <c r="I570" t="s">
        <v>32</v>
      </c>
      <c r="J570" t="s">
        <v>24</v>
      </c>
      <c r="K570" t="s">
        <v>1159</v>
      </c>
      <c r="L570" t="s">
        <v>205</v>
      </c>
      <c r="M570" t="s">
        <v>38</v>
      </c>
      <c r="N570" t="s">
        <v>1372</v>
      </c>
      <c r="O570">
        <v>1</v>
      </c>
      <c r="P570">
        <v>1</v>
      </c>
      <c r="Q570">
        <v>0</v>
      </c>
      <c r="R570" s="1">
        <v>46195.675011574072</v>
      </c>
      <c r="S570" s="1">
        <v>46205.869872685187</v>
      </c>
    </row>
    <row r="571" spans="1:19" x14ac:dyDescent="0.25">
      <c r="A571">
        <v>2010108502</v>
      </c>
      <c r="B571" t="s">
        <v>28</v>
      </c>
      <c r="C571" t="s">
        <v>29</v>
      </c>
      <c r="D571" t="s">
        <v>1375</v>
      </c>
      <c r="E571" t="s">
        <v>1376</v>
      </c>
      <c r="F571" t="e">
        <f>--ds-btn-active-info-border</f>
        <v>#NAME?</v>
      </c>
      <c r="G571" t="s">
        <v>204</v>
      </c>
      <c r="H571" t="s">
        <v>204</v>
      </c>
      <c r="I571" t="s">
        <v>32</v>
      </c>
      <c r="J571" t="s">
        <v>24</v>
      </c>
      <c r="K571" t="s">
        <v>1159</v>
      </c>
      <c r="L571" t="s">
        <v>205</v>
      </c>
      <c r="M571" t="s">
        <v>42</v>
      </c>
      <c r="N571" t="s">
        <v>1372</v>
      </c>
      <c r="O571">
        <v>1</v>
      </c>
      <c r="P571">
        <v>1</v>
      </c>
      <c r="Q571">
        <v>0</v>
      </c>
      <c r="R571" s="1">
        <v>46195.675011574072</v>
      </c>
      <c r="S571" s="1">
        <v>46205.869872685187</v>
      </c>
    </row>
    <row r="572" spans="1:19" x14ac:dyDescent="0.25">
      <c r="A572">
        <v>2010108503</v>
      </c>
      <c r="B572" t="s">
        <v>28</v>
      </c>
      <c r="C572" t="s">
        <v>29</v>
      </c>
      <c r="D572" t="s">
        <v>1377</v>
      </c>
      <c r="E572" t="s">
        <v>1378</v>
      </c>
      <c r="F572" t="e">
        <f>--ds-btn-active-info-hover-bg</f>
        <v>#NAME?</v>
      </c>
      <c r="G572" t="s">
        <v>213</v>
      </c>
      <c r="H572" t="s">
        <v>213</v>
      </c>
      <c r="I572" t="s">
        <v>32</v>
      </c>
      <c r="J572" t="s">
        <v>24</v>
      </c>
      <c r="K572" t="s">
        <v>1159</v>
      </c>
      <c r="L572" t="s">
        <v>205</v>
      </c>
      <c r="M572" t="s">
        <v>46</v>
      </c>
      <c r="N572" t="s">
        <v>1372</v>
      </c>
      <c r="O572">
        <v>1</v>
      </c>
      <c r="P572">
        <v>1</v>
      </c>
      <c r="Q572">
        <v>0</v>
      </c>
      <c r="R572" s="1">
        <v>46195.675011574072</v>
      </c>
      <c r="S572" s="1">
        <v>46205.869872685187</v>
      </c>
    </row>
    <row r="573" spans="1:19" x14ac:dyDescent="0.25">
      <c r="A573">
        <v>2010108504</v>
      </c>
      <c r="B573" t="s">
        <v>28</v>
      </c>
      <c r="C573" t="s">
        <v>29</v>
      </c>
      <c r="D573" t="s">
        <v>1379</v>
      </c>
      <c r="E573" t="s">
        <v>1380</v>
      </c>
      <c r="F573" t="e">
        <f>--ds-btn-active-info-hover-text</f>
        <v>#NAME?</v>
      </c>
      <c r="G573" t="s">
        <v>117</v>
      </c>
      <c r="H573" t="s">
        <v>117</v>
      </c>
      <c r="I573" t="s">
        <v>32</v>
      </c>
      <c r="J573" t="s">
        <v>24</v>
      </c>
      <c r="K573" t="s">
        <v>1159</v>
      </c>
      <c r="L573" t="s">
        <v>205</v>
      </c>
      <c r="M573" t="s">
        <v>49</v>
      </c>
      <c r="N573" t="s">
        <v>1372</v>
      </c>
      <c r="O573">
        <v>1</v>
      </c>
      <c r="P573">
        <v>1</v>
      </c>
      <c r="Q573">
        <v>0</v>
      </c>
      <c r="R573" s="1">
        <v>46195.675011574072</v>
      </c>
      <c r="S573" s="1">
        <v>46205.869872685187</v>
      </c>
    </row>
    <row r="574" spans="1:19" x14ac:dyDescent="0.25">
      <c r="A574">
        <v>2010108505</v>
      </c>
      <c r="B574" t="s">
        <v>28</v>
      </c>
      <c r="C574" t="s">
        <v>29</v>
      </c>
      <c r="D574" t="s">
        <v>1381</v>
      </c>
      <c r="E574" t="s">
        <v>1382</v>
      </c>
      <c r="F574" t="e">
        <f>--ds-btn-active-info-hover-border</f>
        <v>#NAME?</v>
      </c>
      <c r="G574" t="s">
        <v>1045</v>
      </c>
      <c r="H574" t="s">
        <v>1045</v>
      </c>
      <c r="I574" t="s">
        <v>32</v>
      </c>
      <c r="J574" t="s">
        <v>24</v>
      </c>
      <c r="K574" t="s">
        <v>1159</v>
      </c>
      <c r="L574" t="s">
        <v>205</v>
      </c>
      <c r="M574" t="s">
        <v>53</v>
      </c>
      <c r="N574" t="s">
        <v>1372</v>
      </c>
      <c r="O574">
        <v>1</v>
      </c>
      <c r="P574">
        <v>1</v>
      </c>
      <c r="Q574">
        <v>0</v>
      </c>
      <c r="R574" s="1">
        <v>46195.675011574072</v>
      </c>
      <c r="S574" s="1">
        <v>46205.869872685187</v>
      </c>
    </row>
    <row r="575" spans="1:19" x14ac:dyDescent="0.25">
      <c r="A575">
        <v>2010108506</v>
      </c>
      <c r="B575" t="s">
        <v>28</v>
      </c>
      <c r="C575" t="s">
        <v>29</v>
      </c>
      <c r="D575" t="s">
        <v>1383</v>
      </c>
      <c r="E575" t="s">
        <v>1384</v>
      </c>
      <c r="F575" t="e">
        <f>--ds-btn-active-info-disabled-bg</f>
        <v>#NAME?</v>
      </c>
      <c r="G575" t="s">
        <v>530</v>
      </c>
      <c r="H575" t="s">
        <v>530</v>
      </c>
      <c r="I575" t="s">
        <v>32</v>
      </c>
      <c r="J575" t="s">
        <v>24</v>
      </c>
      <c r="K575" t="s">
        <v>1159</v>
      </c>
      <c r="L575" t="s">
        <v>205</v>
      </c>
      <c r="M575" t="s">
        <v>57</v>
      </c>
      <c r="N575" t="s">
        <v>1372</v>
      </c>
      <c r="O575">
        <v>1</v>
      </c>
      <c r="P575">
        <v>1</v>
      </c>
      <c r="Q575">
        <v>0</v>
      </c>
      <c r="R575" s="1">
        <v>46195.675011574072</v>
      </c>
      <c r="S575" s="1">
        <v>46205.869872685187</v>
      </c>
    </row>
    <row r="576" spans="1:19" x14ac:dyDescent="0.25">
      <c r="A576">
        <v>2010108507</v>
      </c>
      <c r="B576" t="s">
        <v>28</v>
      </c>
      <c r="C576" t="s">
        <v>29</v>
      </c>
      <c r="D576" t="s">
        <v>1385</v>
      </c>
      <c r="E576" t="s">
        <v>1386</v>
      </c>
      <c r="F576" t="e">
        <f>--ds-btn-active-info-disabled-text</f>
        <v>#NAME?</v>
      </c>
      <c r="G576" t="s">
        <v>60</v>
      </c>
      <c r="H576" t="s">
        <v>60</v>
      </c>
      <c r="I576" t="s">
        <v>32</v>
      </c>
      <c r="J576" t="s">
        <v>24</v>
      </c>
      <c r="K576" t="s">
        <v>1159</v>
      </c>
      <c r="L576" t="s">
        <v>205</v>
      </c>
      <c r="M576" t="s">
        <v>61</v>
      </c>
      <c r="N576" t="s">
        <v>1372</v>
      </c>
      <c r="O576">
        <v>1</v>
      </c>
      <c r="P576">
        <v>1</v>
      </c>
      <c r="Q576">
        <v>0</v>
      </c>
      <c r="R576" s="1">
        <v>46195.675011574072</v>
      </c>
      <c r="S576" s="1">
        <v>46205.869872685187</v>
      </c>
    </row>
    <row r="577" spans="1:19" x14ac:dyDescent="0.25">
      <c r="A577">
        <v>2010108508</v>
      </c>
      <c r="B577" t="s">
        <v>28</v>
      </c>
      <c r="C577" t="s">
        <v>29</v>
      </c>
      <c r="D577" t="s">
        <v>1387</v>
      </c>
      <c r="E577" t="s">
        <v>1388</v>
      </c>
      <c r="F577" t="e">
        <f>--ds-btn-active-info-disabled-border</f>
        <v>#NAME?</v>
      </c>
      <c r="G577" t="s">
        <v>539</v>
      </c>
      <c r="H577" t="s">
        <v>539</v>
      </c>
      <c r="I577" t="s">
        <v>32</v>
      </c>
      <c r="J577" t="s">
        <v>24</v>
      </c>
      <c r="K577" t="s">
        <v>1159</v>
      </c>
      <c r="L577" t="s">
        <v>205</v>
      </c>
      <c r="M577" t="s">
        <v>65</v>
      </c>
      <c r="N577" t="s">
        <v>1372</v>
      </c>
      <c r="O577">
        <v>1</v>
      </c>
      <c r="P577">
        <v>1</v>
      </c>
      <c r="Q577">
        <v>0</v>
      </c>
      <c r="R577" s="1">
        <v>46195.675011574072</v>
      </c>
      <c r="S577" s="1">
        <v>46205.869872685187</v>
      </c>
    </row>
    <row r="578" spans="1:19" x14ac:dyDescent="0.25">
      <c r="A578">
        <v>2010108509</v>
      </c>
      <c r="B578" t="s">
        <v>28</v>
      </c>
      <c r="C578" t="s">
        <v>29</v>
      </c>
      <c r="D578" t="s">
        <v>1389</v>
      </c>
      <c r="E578" t="s">
        <v>1390</v>
      </c>
      <c r="F578" t="e">
        <f>--ds-btn-active-info-shadow</f>
        <v>#NAME?</v>
      </c>
      <c r="G578" t="s">
        <v>68</v>
      </c>
      <c r="H578" t="s">
        <v>68</v>
      </c>
      <c r="I578" t="s">
        <v>32</v>
      </c>
      <c r="J578" t="s">
        <v>69</v>
      </c>
      <c r="K578" t="s">
        <v>1159</v>
      </c>
      <c r="L578" t="s">
        <v>205</v>
      </c>
      <c r="M578" t="s">
        <v>70</v>
      </c>
      <c r="N578" t="s">
        <v>1372</v>
      </c>
      <c r="O578">
        <v>1</v>
      </c>
      <c r="P578">
        <v>0</v>
      </c>
      <c r="Q578">
        <v>0</v>
      </c>
      <c r="R578" s="1">
        <v>46195.675011574072</v>
      </c>
      <c r="S578" s="1">
        <v>46205.869872685187</v>
      </c>
    </row>
    <row r="579" spans="1:19" x14ac:dyDescent="0.25">
      <c r="A579">
        <v>2010108510</v>
      </c>
      <c r="B579" t="s">
        <v>28</v>
      </c>
      <c r="C579" t="s">
        <v>29</v>
      </c>
      <c r="D579" t="s">
        <v>1391</v>
      </c>
      <c r="E579" t="s">
        <v>1392</v>
      </c>
      <c r="F579" t="e">
        <f>--ds-btn-active-info-radius</f>
        <v>#NAME?</v>
      </c>
      <c r="G579" t="s">
        <v>73</v>
      </c>
      <c r="H579" t="s">
        <v>73</v>
      </c>
      <c r="I579" t="s">
        <v>32</v>
      </c>
      <c r="J579" t="s">
        <v>69</v>
      </c>
      <c r="K579" t="s">
        <v>1159</v>
      </c>
      <c r="L579" t="s">
        <v>205</v>
      </c>
      <c r="M579" t="s">
        <v>74</v>
      </c>
      <c r="N579" t="s">
        <v>1372</v>
      </c>
      <c r="O579">
        <v>1</v>
      </c>
      <c r="P579">
        <v>0</v>
      </c>
      <c r="Q579">
        <v>0</v>
      </c>
      <c r="R579" s="1">
        <v>46195.675011574072</v>
      </c>
      <c r="S579" s="1">
        <v>46205.869872685187</v>
      </c>
    </row>
    <row r="580" spans="1:19" x14ac:dyDescent="0.25">
      <c r="A580">
        <v>2010108511</v>
      </c>
      <c r="B580" t="s">
        <v>28</v>
      </c>
      <c r="C580" t="s">
        <v>29</v>
      </c>
      <c r="D580" t="s">
        <v>1393</v>
      </c>
      <c r="E580" t="s">
        <v>1394</v>
      </c>
      <c r="F580" t="e">
        <f>--ds-btn-active-info-padding-x</f>
        <v>#NAME?</v>
      </c>
      <c r="G580" t="s">
        <v>77</v>
      </c>
      <c r="H580" t="s">
        <v>77</v>
      </c>
      <c r="I580" t="s">
        <v>32</v>
      </c>
      <c r="J580" t="s">
        <v>78</v>
      </c>
      <c r="K580" t="s">
        <v>1159</v>
      </c>
      <c r="L580" t="s">
        <v>205</v>
      </c>
      <c r="M580" t="s">
        <v>79</v>
      </c>
      <c r="N580" t="s">
        <v>1372</v>
      </c>
      <c r="O580">
        <v>1</v>
      </c>
      <c r="P580">
        <v>0</v>
      </c>
      <c r="Q580">
        <v>0</v>
      </c>
      <c r="R580" s="1">
        <v>46195.675011574072</v>
      </c>
      <c r="S580" s="1">
        <v>46205.869872685187</v>
      </c>
    </row>
    <row r="581" spans="1:19" x14ac:dyDescent="0.25">
      <c r="A581">
        <v>2010108512</v>
      </c>
      <c r="B581" t="s">
        <v>28</v>
      </c>
      <c r="C581" t="s">
        <v>29</v>
      </c>
      <c r="D581" t="s">
        <v>1395</v>
      </c>
      <c r="E581" t="s">
        <v>1396</v>
      </c>
      <c r="F581" t="e">
        <f>--ds-btn-active-info-padding-y</f>
        <v>#NAME?</v>
      </c>
      <c r="G581" t="s">
        <v>82</v>
      </c>
      <c r="H581" t="s">
        <v>82</v>
      </c>
      <c r="I581" t="s">
        <v>32</v>
      </c>
      <c r="J581" t="s">
        <v>78</v>
      </c>
      <c r="K581" t="s">
        <v>1159</v>
      </c>
      <c r="L581" t="s">
        <v>205</v>
      </c>
      <c r="M581" t="s">
        <v>83</v>
      </c>
      <c r="N581" t="s">
        <v>1372</v>
      </c>
      <c r="O581">
        <v>1</v>
      </c>
      <c r="P581">
        <v>0</v>
      </c>
      <c r="Q581">
        <v>0</v>
      </c>
      <c r="R581" s="1">
        <v>46195.675011574072</v>
      </c>
      <c r="S581" s="1">
        <v>46205.869872685187</v>
      </c>
    </row>
    <row r="582" spans="1:19" x14ac:dyDescent="0.25">
      <c r="A582">
        <v>2010108513</v>
      </c>
      <c r="B582" t="s">
        <v>28</v>
      </c>
      <c r="C582" t="s">
        <v>29</v>
      </c>
      <c r="D582" t="s">
        <v>1397</v>
      </c>
      <c r="E582" t="s">
        <v>1398</v>
      </c>
      <c r="F582" t="e">
        <f>--ds-btn-active-info-gap</f>
        <v>#NAME?</v>
      </c>
      <c r="G582" t="s">
        <v>86</v>
      </c>
      <c r="H582" t="s">
        <v>86</v>
      </c>
      <c r="I582" t="s">
        <v>32</v>
      </c>
      <c r="J582" t="s">
        <v>78</v>
      </c>
      <c r="K582" t="s">
        <v>1159</v>
      </c>
      <c r="L582" t="s">
        <v>205</v>
      </c>
      <c r="M582" t="s">
        <v>87</v>
      </c>
      <c r="N582" t="s">
        <v>1372</v>
      </c>
      <c r="O582">
        <v>1</v>
      </c>
      <c r="P582">
        <v>0</v>
      </c>
      <c r="Q582">
        <v>0</v>
      </c>
      <c r="R582" s="1">
        <v>46195.675011574072</v>
      </c>
      <c r="S582" s="1">
        <v>46205.869872685187</v>
      </c>
    </row>
    <row r="583" spans="1:19" x14ac:dyDescent="0.25">
      <c r="A583">
        <v>2010108514</v>
      </c>
      <c r="B583" t="s">
        <v>28</v>
      </c>
      <c r="C583" t="s">
        <v>29</v>
      </c>
      <c r="D583" t="s">
        <v>1399</v>
      </c>
      <c r="E583" t="s">
        <v>1400</v>
      </c>
      <c r="F583" t="e">
        <f>--ds-btn-active-info-focus-ring</f>
        <v>#NAME?</v>
      </c>
      <c r="G583" t="s">
        <v>1401</v>
      </c>
      <c r="H583" t="s">
        <v>1401</v>
      </c>
      <c r="I583" t="s">
        <v>32</v>
      </c>
      <c r="J583" t="s">
        <v>69</v>
      </c>
      <c r="K583" t="s">
        <v>1159</v>
      </c>
      <c r="L583" t="s">
        <v>205</v>
      </c>
      <c r="M583" t="s">
        <v>91</v>
      </c>
      <c r="N583" t="s">
        <v>1372</v>
      </c>
      <c r="O583">
        <v>1</v>
      </c>
      <c r="P583">
        <v>0</v>
      </c>
      <c r="Q583">
        <v>0</v>
      </c>
      <c r="R583" s="1">
        <v>46195.675011574072</v>
      </c>
      <c r="S583" s="1">
        <v>46205.869872685187</v>
      </c>
    </row>
    <row r="584" spans="1:19" x14ac:dyDescent="0.25">
      <c r="A584">
        <v>2010108515</v>
      </c>
      <c r="B584" t="s">
        <v>28</v>
      </c>
      <c r="C584" t="s">
        <v>29</v>
      </c>
      <c r="D584" t="s">
        <v>1402</v>
      </c>
      <c r="E584" t="s">
        <v>1403</v>
      </c>
      <c r="F584" t="e">
        <f>--ds-btn-active-info-outline</f>
        <v>#NAME?</v>
      </c>
      <c r="G584" t="s">
        <v>94</v>
      </c>
      <c r="H584" t="s">
        <v>94</v>
      </c>
      <c r="I584" t="s">
        <v>32</v>
      </c>
      <c r="J584" t="s">
        <v>69</v>
      </c>
      <c r="K584" t="s">
        <v>1159</v>
      </c>
      <c r="L584" t="s">
        <v>205</v>
      </c>
      <c r="M584" t="s">
        <v>95</v>
      </c>
      <c r="N584" t="s">
        <v>1372</v>
      </c>
      <c r="O584">
        <v>1</v>
      </c>
      <c r="P584">
        <v>0</v>
      </c>
      <c r="Q584">
        <v>0</v>
      </c>
      <c r="R584" s="1">
        <v>46195.675011574072</v>
      </c>
      <c r="S584" s="1">
        <v>46205.869872685187</v>
      </c>
    </row>
    <row r="585" spans="1:19" x14ac:dyDescent="0.25">
      <c r="A585">
        <v>2010108516</v>
      </c>
      <c r="B585" t="s">
        <v>28</v>
      </c>
      <c r="C585" t="s">
        <v>29</v>
      </c>
      <c r="D585" t="s">
        <v>1404</v>
      </c>
      <c r="E585" t="s">
        <v>1405</v>
      </c>
      <c r="F585" t="e">
        <f>--ds-btn-active-info-transition</f>
        <v>#NAME?</v>
      </c>
      <c r="G585" t="s">
        <v>98</v>
      </c>
      <c r="H585" t="s">
        <v>98</v>
      </c>
      <c r="I585" t="s">
        <v>32</v>
      </c>
      <c r="J585" t="s">
        <v>69</v>
      </c>
      <c r="K585" t="s">
        <v>1159</v>
      </c>
      <c r="L585" t="s">
        <v>205</v>
      </c>
      <c r="M585" t="s">
        <v>99</v>
      </c>
      <c r="N585" t="s">
        <v>1372</v>
      </c>
      <c r="O585">
        <v>1</v>
      </c>
      <c r="P585">
        <v>0</v>
      </c>
      <c r="Q585">
        <v>0</v>
      </c>
      <c r="R585" s="1">
        <v>46195.675011574072</v>
      </c>
      <c r="S585" s="1">
        <v>46205.869872685187</v>
      </c>
    </row>
    <row r="586" spans="1:19" x14ac:dyDescent="0.25">
      <c r="A586">
        <v>2010108517</v>
      </c>
      <c r="B586" t="s">
        <v>28</v>
      </c>
      <c r="C586" t="s">
        <v>29</v>
      </c>
      <c r="D586" t="s">
        <v>1406</v>
      </c>
      <c r="E586" t="s">
        <v>1407</v>
      </c>
      <c r="F586" t="e">
        <f>--ds-btn-active-info-icon-color</f>
        <v>#NAME?</v>
      </c>
      <c r="G586" t="s">
        <v>117</v>
      </c>
      <c r="H586" t="s">
        <v>117</v>
      </c>
      <c r="I586" t="s">
        <v>32</v>
      </c>
      <c r="J586" t="s">
        <v>24</v>
      </c>
      <c r="K586" t="s">
        <v>1159</v>
      </c>
      <c r="L586" t="s">
        <v>205</v>
      </c>
      <c r="M586" t="s">
        <v>102</v>
      </c>
      <c r="N586" t="s">
        <v>1372</v>
      </c>
      <c r="O586">
        <v>1</v>
      </c>
      <c r="P586">
        <v>0</v>
      </c>
      <c r="Q586">
        <v>0</v>
      </c>
      <c r="R586" s="1">
        <v>46195.675011574072</v>
      </c>
      <c r="S586" s="1">
        <v>46205.869872685187</v>
      </c>
    </row>
    <row r="587" spans="1:19" x14ac:dyDescent="0.25">
      <c r="A587">
        <v>2010108518</v>
      </c>
      <c r="B587" t="s">
        <v>28</v>
      </c>
      <c r="C587" t="s">
        <v>29</v>
      </c>
      <c r="D587" t="s">
        <v>1408</v>
      </c>
      <c r="E587" t="s">
        <v>1409</v>
      </c>
      <c r="F587" t="e">
        <f>--ds-btn-active-info-icon-size</f>
        <v>#NAME?</v>
      </c>
      <c r="G587" t="s">
        <v>105</v>
      </c>
      <c r="H587" t="s">
        <v>105</v>
      </c>
      <c r="I587" t="s">
        <v>32</v>
      </c>
      <c r="J587" t="s">
        <v>78</v>
      </c>
      <c r="K587" t="s">
        <v>1159</v>
      </c>
      <c r="L587" t="s">
        <v>205</v>
      </c>
      <c r="M587" t="s">
        <v>106</v>
      </c>
      <c r="N587" t="s">
        <v>1372</v>
      </c>
      <c r="O587">
        <v>1</v>
      </c>
      <c r="P587">
        <v>0</v>
      </c>
      <c r="Q587">
        <v>0</v>
      </c>
      <c r="R587" s="1">
        <v>46195.675011574072</v>
      </c>
      <c r="S587" s="1">
        <v>46205.869872685187</v>
      </c>
    </row>
    <row r="588" spans="1:19" x14ac:dyDescent="0.25">
      <c r="A588">
        <v>2010108519</v>
      </c>
      <c r="B588" t="s">
        <v>28</v>
      </c>
      <c r="C588" t="s">
        <v>29</v>
      </c>
      <c r="D588" t="s">
        <v>1410</v>
      </c>
      <c r="E588" t="s">
        <v>1411</v>
      </c>
      <c r="F588" t="e">
        <f>--ds-btn-active-info-line-height</f>
        <v>#NAME?</v>
      </c>
      <c r="G588">
        <v>1.2</v>
      </c>
      <c r="H588">
        <v>1.2</v>
      </c>
      <c r="I588" t="s">
        <v>32</v>
      </c>
      <c r="J588" t="s">
        <v>78</v>
      </c>
      <c r="K588" t="s">
        <v>1159</v>
      </c>
      <c r="L588" t="s">
        <v>205</v>
      </c>
      <c r="M588" t="s">
        <v>109</v>
      </c>
      <c r="N588" t="s">
        <v>1372</v>
      </c>
      <c r="O588">
        <v>1</v>
      </c>
      <c r="P588">
        <v>0</v>
      </c>
      <c r="Q588">
        <v>0</v>
      </c>
      <c r="R588" s="1">
        <v>46195.675011574072</v>
      </c>
      <c r="S588" s="1">
        <v>46205.869872685187</v>
      </c>
    </row>
    <row r="589" spans="1:19" x14ac:dyDescent="0.25">
      <c r="A589">
        <v>2010108600</v>
      </c>
      <c r="B589" t="s">
        <v>28</v>
      </c>
      <c r="C589" t="s">
        <v>29</v>
      </c>
      <c r="D589" t="s">
        <v>1412</v>
      </c>
      <c r="E589" t="s">
        <v>1413</v>
      </c>
      <c r="F589" t="e">
        <f>--ds-btn-active-light-bg</f>
        <v>#NAME?</v>
      </c>
      <c r="G589" t="s">
        <v>123</v>
      </c>
      <c r="H589" t="s">
        <v>123</v>
      </c>
      <c r="I589" t="s">
        <v>32</v>
      </c>
      <c r="J589" t="s">
        <v>24</v>
      </c>
      <c r="K589" t="s">
        <v>1159</v>
      </c>
      <c r="L589" t="s">
        <v>226</v>
      </c>
      <c r="M589" t="s">
        <v>26</v>
      </c>
      <c r="N589" t="s">
        <v>1414</v>
      </c>
      <c r="O589">
        <v>1</v>
      </c>
      <c r="P589">
        <v>1</v>
      </c>
      <c r="Q589">
        <v>0</v>
      </c>
      <c r="R589" s="1">
        <v>46195.675208333334</v>
      </c>
      <c r="S589" s="1">
        <v>46205.869872685187</v>
      </c>
    </row>
    <row r="590" spans="1:19" x14ac:dyDescent="0.25">
      <c r="A590">
        <v>2010108601</v>
      </c>
      <c r="B590" t="s">
        <v>28</v>
      </c>
      <c r="C590" t="s">
        <v>29</v>
      </c>
      <c r="D590" t="s">
        <v>1415</v>
      </c>
      <c r="E590" t="s">
        <v>1416</v>
      </c>
      <c r="F590" t="e">
        <f>--ds-btn-active-light-text</f>
        <v>#NAME?</v>
      </c>
      <c r="G590" t="s">
        <v>117</v>
      </c>
      <c r="H590" t="s">
        <v>117</v>
      </c>
      <c r="I590" t="s">
        <v>32</v>
      </c>
      <c r="J590" t="s">
        <v>24</v>
      </c>
      <c r="K590" t="s">
        <v>1159</v>
      </c>
      <c r="L590" t="s">
        <v>226</v>
      </c>
      <c r="M590" t="s">
        <v>38</v>
      </c>
      <c r="N590" t="s">
        <v>1414</v>
      </c>
      <c r="O590">
        <v>1</v>
      </c>
      <c r="P590">
        <v>1</v>
      </c>
      <c r="Q590">
        <v>0</v>
      </c>
      <c r="R590" s="1">
        <v>46195.675208333334</v>
      </c>
      <c r="S590" s="1">
        <v>46205.869872685187</v>
      </c>
    </row>
    <row r="591" spans="1:19" x14ac:dyDescent="0.25">
      <c r="A591">
        <v>2010108602</v>
      </c>
      <c r="B591" t="s">
        <v>28</v>
      </c>
      <c r="C591" t="s">
        <v>29</v>
      </c>
      <c r="D591" t="s">
        <v>1417</v>
      </c>
      <c r="E591" t="s">
        <v>1418</v>
      </c>
      <c r="F591" t="e">
        <f>--ds-btn-active-light-border</f>
        <v>#NAME?</v>
      </c>
      <c r="G591" t="s">
        <v>123</v>
      </c>
      <c r="H591" t="s">
        <v>123</v>
      </c>
      <c r="I591" t="s">
        <v>32</v>
      </c>
      <c r="J591" t="s">
        <v>24</v>
      </c>
      <c r="K591" t="s">
        <v>1159</v>
      </c>
      <c r="L591" t="s">
        <v>226</v>
      </c>
      <c r="M591" t="s">
        <v>42</v>
      </c>
      <c r="N591" t="s">
        <v>1414</v>
      </c>
      <c r="O591">
        <v>1</v>
      </c>
      <c r="P591">
        <v>1</v>
      </c>
      <c r="Q591">
        <v>0</v>
      </c>
      <c r="R591" s="1">
        <v>46195.675208333334</v>
      </c>
      <c r="S591" s="1">
        <v>46205.869872685187</v>
      </c>
    </row>
    <row r="592" spans="1:19" x14ac:dyDescent="0.25">
      <c r="A592">
        <v>2010108603</v>
      </c>
      <c r="B592" t="s">
        <v>28</v>
      </c>
      <c r="C592" t="s">
        <v>29</v>
      </c>
      <c r="D592" t="s">
        <v>1419</v>
      </c>
      <c r="E592" t="s">
        <v>1420</v>
      </c>
      <c r="F592" t="e">
        <f>--ds-btn-active-light-hover-bg</f>
        <v>#NAME?</v>
      </c>
      <c r="G592" t="s">
        <v>1080</v>
      </c>
      <c r="H592" t="s">
        <v>1080</v>
      </c>
      <c r="I592" t="s">
        <v>32</v>
      </c>
      <c r="J592" t="s">
        <v>24</v>
      </c>
      <c r="K592" t="s">
        <v>1159</v>
      </c>
      <c r="L592" t="s">
        <v>226</v>
      </c>
      <c r="M592" t="s">
        <v>46</v>
      </c>
      <c r="N592" t="s">
        <v>1414</v>
      </c>
      <c r="O592">
        <v>1</v>
      </c>
      <c r="P592">
        <v>1</v>
      </c>
      <c r="Q592">
        <v>0</v>
      </c>
      <c r="R592" s="1">
        <v>46195.675208333334</v>
      </c>
      <c r="S592" s="1">
        <v>46205.869872685187</v>
      </c>
    </row>
    <row r="593" spans="1:19" x14ac:dyDescent="0.25">
      <c r="A593">
        <v>2010108604</v>
      </c>
      <c r="B593" t="s">
        <v>28</v>
      </c>
      <c r="C593" t="s">
        <v>29</v>
      </c>
      <c r="D593" t="s">
        <v>1421</v>
      </c>
      <c r="E593" t="s">
        <v>1422</v>
      </c>
      <c r="F593" t="e">
        <f>--ds-btn-active-light-hover-text</f>
        <v>#NAME?</v>
      </c>
      <c r="G593" t="s">
        <v>117</v>
      </c>
      <c r="H593" t="s">
        <v>117</v>
      </c>
      <c r="I593" t="s">
        <v>32</v>
      </c>
      <c r="J593" t="s">
        <v>24</v>
      </c>
      <c r="K593" t="s">
        <v>1159</v>
      </c>
      <c r="L593" t="s">
        <v>226</v>
      </c>
      <c r="M593" t="s">
        <v>49</v>
      </c>
      <c r="N593" t="s">
        <v>1414</v>
      </c>
      <c r="O593">
        <v>1</v>
      </c>
      <c r="P593">
        <v>1</v>
      </c>
      <c r="Q593">
        <v>0</v>
      </c>
      <c r="R593" s="1">
        <v>46195.675208333334</v>
      </c>
      <c r="S593" s="1">
        <v>46205.869872685187</v>
      </c>
    </row>
    <row r="594" spans="1:19" x14ac:dyDescent="0.25">
      <c r="A594">
        <v>2010108605</v>
      </c>
      <c r="B594" t="s">
        <v>28</v>
      </c>
      <c r="C594" t="s">
        <v>29</v>
      </c>
      <c r="D594" t="s">
        <v>1423</v>
      </c>
      <c r="E594" t="s">
        <v>1424</v>
      </c>
      <c r="F594" t="e">
        <f>--ds-btn-active-light-hover-border</f>
        <v>#NAME?</v>
      </c>
      <c r="G594" t="s">
        <v>1080</v>
      </c>
      <c r="H594" t="s">
        <v>1080</v>
      </c>
      <c r="I594" t="s">
        <v>32</v>
      </c>
      <c r="J594" t="s">
        <v>24</v>
      </c>
      <c r="K594" t="s">
        <v>1159</v>
      </c>
      <c r="L594" t="s">
        <v>226</v>
      </c>
      <c r="M594" t="s">
        <v>53</v>
      </c>
      <c r="N594" t="s">
        <v>1414</v>
      </c>
      <c r="O594">
        <v>1</v>
      </c>
      <c r="P594">
        <v>1</v>
      </c>
      <c r="Q594">
        <v>0</v>
      </c>
      <c r="R594" s="1">
        <v>46195.675208333334</v>
      </c>
      <c r="S594" s="1">
        <v>46205.869872685187</v>
      </c>
    </row>
    <row r="595" spans="1:19" x14ac:dyDescent="0.25">
      <c r="A595">
        <v>2010108606</v>
      </c>
      <c r="B595" t="s">
        <v>28</v>
      </c>
      <c r="C595" t="s">
        <v>29</v>
      </c>
      <c r="D595" t="s">
        <v>1425</v>
      </c>
      <c r="E595" t="s">
        <v>1426</v>
      </c>
      <c r="F595" t="e">
        <f>--ds-btn-active-light-disabled-bg</f>
        <v>#NAME?</v>
      </c>
      <c r="G595" t="s">
        <v>1427</v>
      </c>
      <c r="H595" t="s">
        <v>1427</v>
      </c>
      <c r="I595" t="s">
        <v>32</v>
      </c>
      <c r="J595" t="s">
        <v>24</v>
      </c>
      <c r="K595" t="s">
        <v>1159</v>
      </c>
      <c r="L595" t="s">
        <v>226</v>
      </c>
      <c r="M595" t="s">
        <v>57</v>
      </c>
      <c r="N595" t="s">
        <v>1414</v>
      </c>
      <c r="O595">
        <v>1</v>
      </c>
      <c r="P595">
        <v>1</v>
      </c>
      <c r="Q595">
        <v>0</v>
      </c>
      <c r="R595" s="1">
        <v>46195.675208333334</v>
      </c>
      <c r="S595" s="1">
        <v>46205.869872685187</v>
      </c>
    </row>
    <row r="596" spans="1:19" x14ac:dyDescent="0.25">
      <c r="A596">
        <v>2010108607</v>
      </c>
      <c r="B596" t="s">
        <v>28</v>
      </c>
      <c r="C596" t="s">
        <v>29</v>
      </c>
      <c r="D596" t="s">
        <v>1428</v>
      </c>
      <c r="E596" t="s">
        <v>1429</v>
      </c>
      <c r="F596" t="e">
        <f>--ds-btn-active-light-disabled-text</f>
        <v>#NAME?</v>
      </c>
      <c r="G596" t="s">
        <v>60</v>
      </c>
      <c r="H596" t="s">
        <v>60</v>
      </c>
      <c r="I596" t="s">
        <v>32</v>
      </c>
      <c r="J596" t="s">
        <v>24</v>
      </c>
      <c r="K596" t="s">
        <v>1159</v>
      </c>
      <c r="L596" t="s">
        <v>226</v>
      </c>
      <c r="M596" t="s">
        <v>61</v>
      </c>
      <c r="N596" t="s">
        <v>1414</v>
      </c>
      <c r="O596">
        <v>1</v>
      </c>
      <c r="P596">
        <v>1</v>
      </c>
      <c r="Q596">
        <v>0</v>
      </c>
      <c r="R596" s="1">
        <v>46195.675208333334</v>
      </c>
      <c r="S596" s="1">
        <v>46205.869872685187</v>
      </c>
    </row>
    <row r="597" spans="1:19" x14ac:dyDescent="0.25">
      <c r="A597">
        <v>2010108608</v>
      </c>
      <c r="B597" t="s">
        <v>28</v>
      </c>
      <c r="C597" t="s">
        <v>29</v>
      </c>
      <c r="D597" t="s">
        <v>1430</v>
      </c>
      <c r="E597" t="s">
        <v>1431</v>
      </c>
      <c r="F597" t="e">
        <f>--ds-btn-active-light-disabled-border</f>
        <v>#NAME?</v>
      </c>
      <c r="G597" t="s">
        <v>120</v>
      </c>
      <c r="H597" t="s">
        <v>120</v>
      </c>
      <c r="I597" t="s">
        <v>32</v>
      </c>
      <c r="J597" t="s">
        <v>24</v>
      </c>
      <c r="K597" t="s">
        <v>1159</v>
      </c>
      <c r="L597" t="s">
        <v>226</v>
      </c>
      <c r="M597" t="s">
        <v>65</v>
      </c>
      <c r="N597" t="s">
        <v>1414</v>
      </c>
      <c r="O597">
        <v>1</v>
      </c>
      <c r="P597">
        <v>1</v>
      </c>
      <c r="Q597">
        <v>0</v>
      </c>
      <c r="R597" s="1">
        <v>46195.675208333334</v>
      </c>
      <c r="S597" s="1">
        <v>46205.869872685187</v>
      </c>
    </row>
    <row r="598" spans="1:19" x14ac:dyDescent="0.25">
      <c r="A598">
        <v>2010108609</v>
      </c>
      <c r="B598" t="s">
        <v>28</v>
      </c>
      <c r="C598" t="s">
        <v>29</v>
      </c>
      <c r="D598" t="s">
        <v>1432</v>
      </c>
      <c r="E598" t="s">
        <v>1433</v>
      </c>
      <c r="F598" t="e">
        <f>--ds-btn-active-light-shadow</f>
        <v>#NAME?</v>
      </c>
      <c r="G598" t="s">
        <v>68</v>
      </c>
      <c r="H598" t="s">
        <v>68</v>
      </c>
      <c r="I598" t="s">
        <v>32</v>
      </c>
      <c r="J598" t="s">
        <v>69</v>
      </c>
      <c r="K598" t="s">
        <v>1159</v>
      </c>
      <c r="L598" t="s">
        <v>226</v>
      </c>
      <c r="M598" t="s">
        <v>70</v>
      </c>
      <c r="N598" t="s">
        <v>1414</v>
      </c>
      <c r="O598">
        <v>1</v>
      </c>
      <c r="P598">
        <v>0</v>
      </c>
      <c r="Q598">
        <v>0</v>
      </c>
      <c r="R598" s="1">
        <v>46195.675208333334</v>
      </c>
      <c r="S598" s="1">
        <v>46205.869872685187</v>
      </c>
    </row>
    <row r="599" spans="1:19" x14ac:dyDescent="0.25">
      <c r="A599">
        <v>2010108610</v>
      </c>
      <c r="B599" t="s">
        <v>28</v>
      </c>
      <c r="C599" t="s">
        <v>29</v>
      </c>
      <c r="D599" t="s">
        <v>1434</v>
      </c>
      <c r="E599" t="s">
        <v>1435</v>
      </c>
      <c r="F599" t="e">
        <f>--ds-btn-active-light-radius</f>
        <v>#NAME?</v>
      </c>
      <c r="G599" t="s">
        <v>73</v>
      </c>
      <c r="H599" t="s">
        <v>73</v>
      </c>
      <c r="I599" t="s">
        <v>32</v>
      </c>
      <c r="J599" t="s">
        <v>69</v>
      </c>
      <c r="K599" t="s">
        <v>1159</v>
      </c>
      <c r="L599" t="s">
        <v>226</v>
      </c>
      <c r="M599" t="s">
        <v>74</v>
      </c>
      <c r="N599" t="s">
        <v>1414</v>
      </c>
      <c r="O599">
        <v>1</v>
      </c>
      <c r="P599">
        <v>0</v>
      </c>
      <c r="Q599">
        <v>0</v>
      </c>
      <c r="R599" s="1">
        <v>46195.675208333334</v>
      </c>
      <c r="S599" s="1">
        <v>46205.869872685187</v>
      </c>
    </row>
    <row r="600" spans="1:19" x14ac:dyDescent="0.25">
      <c r="A600">
        <v>2010108611</v>
      </c>
      <c r="B600" t="s">
        <v>28</v>
      </c>
      <c r="C600" t="s">
        <v>29</v>
      </c>
      <c r="D600" t="s">
        <v>1436</v>
      </c>
      <c r="E600" t="s">
        <v>1437</v>
      </c>
      <c r="F600" t="e">
        <f>--ds-btn-active-light-padding-x</f>
        <v>#NAME?</v>
      </c>
      <c r="G600" t="s">
        <v>77</v>
      </c>
      <c r="H600" t="s">
        <v>77</v>
      </c>
      <c r="I600" t="s">
        <v>32</v>
      </c>
      <c r="J600" t="s">
        <v>78</v>
      </c>
      <c r="K600" t="s">
        <v>1159</v>
      </c>
      <c r="L600" t="s">
        <v>226</v>
      </c>
      <c r="M600" t="s">
        <v>79</v>
      </c>
      <c r="N600" t="s">
        <v>1414</v>
      </c>
      <c r="O600">
        <v>1</v>
      </c>
      <c r="P600">
        <v>0</v>
      </c>
      <c r="Q600">
        <v>0</v>
      </c>
      <c r="R600" s="1">
        <v>46195.675208333334</v>
      </c>
      <c r="S600" s="1">
        <v>46205.869872685187</v>
      </c>
    </row>
    <row r="601" spans="1:19" x14ac:dyDescent="0.25">
      <c r="A601">
        <v>2010108612</v>
      </c>
      <c r="B601" t="s">
        <v>28</v>
      </c>
      <c r="C601" t="s">
        <v>29</v>
      </c>
      <c r="D601" t="s">
        <v>1438</v>
      </c>
      <c r="E601" t="s">
        <v>1439</v>
      </c>
      <c r="F601" t="e">
        <f>--ds-btn-active-light-padding-y</f>
        <v>#NAME?</v>
      </c>
      <c r="G601" t="s">
        <v>82</v>
      </c>
      <c r="H601" t="s">
        <v>82</v>
      </c>
      <c r="I601" t="s">
        <v>32</v>
      </c>
      <c r="J601" t="s">
        <v>78</v>
      </c>
      <c r="K601" t="s">
        <v>1159</v>
      </c>
      <c r="L601" t="s">
        <v>226</v>
      </c>
      <c r="M601" t="s">
        <v>83</v>
      </c>
      <c r="N601" t="s">
        <v>1414</v>
      </c>
      <c r="O601">
        <v>1</v>
      </c>
      <c r="P601">
        <v>0</v>
      </c>
      <c r="Q601">
        <v>0</v>
      </c>
      <c r="R601" s="1">
        <v>46195.675208333334</v>
      </c>
      <c r="S601" s="1">
        <v>46205.869872685187</v>
      </c>
    </row>
    <row r="602" spans="1:19" x14ac:dyDescent="0.25">
      <c r="A602">
        <v>2010108613</v>
      </c>
      <c r="B602" t="s">
        <v>28</v>
      </c>
      <c r="C602" t="s">
        <v>29</v>
      </c>
      <c r="D602" t="s">
        <v>1440</v>
      </c>
      <c r="E602" t="s">
        <v>1441</v>
      </c>
      <c r="F602" t="e">
        <f>--ds-btn-active-light-gap</f>
        <v>#NAME?</v>
      </c>
      <c r="G602" t="s">
        <v>86</v>
      </c>
      <c r="H602" t="s">
        <v>86</v>
      </c>
      <c r="I602" t="s">
        <v>32</v>
      </c>
      <c r="J602" t="s">
        <v>78</v>
      </c>
      <c r="K602" t="s">
        <v>1159</v>
      </c>
      <c r="L602" t="s">
        <v>226</v>
      </c>
      <c r="M602" t="s">
        <v>87</v>
      </c>
      <c r="N602" t="s">
        <v>1414</v>
      </c>
      <c r="O602">
        <v>1</v>
      </c>
      <c r="P602">
        <v>0</v>
      </c>
      <c r="Q602">
        <v>0</v>
      </c>
      <c r="R602" s="1">
        <v>46195.675208333334</v>
      </c>
      <c r="S602" s="1">
        <v>46205.869872685187</v>
      </c>
    </row>
    <row r="603" spans="1:19" x14ac:dyDescent="0.25">
      <c r="A603">
        <v>2010108614</v>
      </c>
      <c r="B603" t="s">
        <v>28</v>
      </c>
      <c r="C603" t="s">
        <v>29</v>
      </c>
      <c r="D603" t="s">
        <v>1442</v>
      </c>
      <c r="E603" t="s">
        <v>1443</v>
      </c>
      <c r="F603" t="e">
        <f>--ds-btn-active-light-focus-ring</f>
        <v>#NAME?</v>
      </c>
      <c r="G603" t="s">
        <v>1444</v>
      </c>
      <c r="H603" t="s">
        <v>1444</v>
      </c>
      <c r="I603" t="s">
        <v>32</v>
      </c>
      <c r="J603" t="s">
        <v>69</v>
      </c>
      <c r="K603" t="s">
        <v>1159</v>
      </c>
      <c r="L603" t="s">
        <v>226</v>
      </c>
      <c r="M603" t="s">
        <v>91</v>
      </c>
      <c r="N603" t="s">
        <v>1414</v>
      </c>
      <c r="O603">
        <v>1</v>
      </c>
      <c r="P603">
        <v>0</v>
      </c>
      <c r="Q603">
        <v>0</v>
      </c>
      <c r="R603" s="1">
        <v>46195.675208333334</v>
      </c>
      <c r="S603" s="1">
        <v>46205.869872685187</v>
      </c>
    </row>
    <row r="604" spans="1:19" x14ac:dyDescent="0.25">
      <c r="A604">
        <v>2010108615</v>
      </c>
      <c r="B604" t="s">
        <v>28</v>
      </c>
      <c r="C604" t="s">
        <v>29</v>
      </c>
      <c r="D604" t="s">
        <v>1445</v>
      </c>
      <c r="E604" t="s">
        <v>1446</v>
      </c>
      <c r="F604" t="e">
        <f>--ds-btn-active-light-outline</f>
        <v>#NAME?</v>
      </c>
      <c r="G604" t="s">
        <v>94</v>
      </c>
      <c r="H604" t="s">
        <v>94</v>
      </c>
      <c r="I604" t="s">
        <v>32</v>
      </c>
      <c r="J604" t="s">
        <v>69</v>
      </c>
      <c r="K604" t="s">
        <v>1159</v>
      </c>
      <c r="L604" t="s">
        <v>226</v>
      </c>
      <c r="M604" t="s">
        <v>95</v>
      </c>
      <c r="N604" t="s">
        <v>1414</v>
      </c>
      <c r="O604">
        <v>1</v>
      </c>
      <c r="P604">
        <v>0</v>
      </c>
      <c r="Q604">
        <v>0</v>
      </c>
      <c r="R604" s="1">
        <v>46195.675208333334</v>
      </c>
      <c r="S604" s="1">
        <v>46205.869872685187</v>
      </c>
    </row>
    <row r="605" spans="1:19" x14ac:dyDescent="0.25">
      <c r="A605">
        <v>2010108616</v>
      </c>
      <c r="B605" t="s">
        <v>28</v>
      </c>
      <c r="C605" t="s">
        <v>29</v>
      </c>
      <c r="D605" t="s">
        <v>1447</v>
      </c>
      <c r="E605" t="s">
        <v>1448</v>
      </c>
      <c r="F605" t="e">
        <f>--ds-btn-active-light-transition</f>
        <v>#NAME?</v>
      </c>
      <c r="G605" t="s">
        <v>98</v>
      </c>
      <c r="H605" t="s">
        <v>98</v>
      </c>
      <c r="I605" t="s">
        <v>32</v>
      </c>
      <c r="J605" t="s">
        <v>69</v>
      </c>
      <c r="K605" t="s">
        <v>1159</v>
      </c>
      <c r="L605" t="s">
        <v>226</v>
      </c>
      <c r="M605" t="s">
        <v>99</v>
      </c>
      <c r="N605" t="s">
        <v>1414</v>
      </c>
      <c r="O605">
        <v>1</v>
      </c>
      <c r="P605">
        <v>0</v>
      </c>
      <c r="Q605">
        <v>0</v>
      </c>
      <c r="R605" s="1">
        <v>46195.675208333334</v>
      </c>
      <c r="S605" s="1">
        <v>46205.869872685187</v>
      </c>
    </row>
    <row r="606" spans="1:19" x14ac:dyDescent="0.25">
      <c r="A606">
        <v>2010108617</v>
      </c>
      <c r="B606" t="s">
        <v>28</v>
      </c>
      <c r="C606" t="s">
        <v>29</v>
      </c>
      <c r="D606" t="s">
        <v>1449</v>
      </c>
      <c r="E606" t="s">
        <v>1450</v>
      </c>
      <c r="F606" t="e">
        <f>--ds-btn-active-light-icon-color</f>
        <v>#NAME?</v>
      </c>
      <c r="G606" t="s">
        <v>117</v>
      </c>
      <c r="H606" t="s">
        <v>117</v>
      </c>
      <c r="I606" t="s">
        <v>32</v>
      </c>
      <c r="J606" t="s">
        <v>24</v>
      </c>
      <c r="K606" t="s">
        <v>1159</v>
      </c>
      <c r="L606" t="s">
        <v>226</v>
      </c>
      <c r="M606" t="s">
        <v>102</v>
      </c>
      <c r="N606" t="s">
        <v>1414</v>
      </c>
      <c r="O606">
        <v>1</v>
      </c>
      <c r="P606">
        <v>0</v>
      </c>
      <c r="Q606">
        <v>0</v>
      </c>
      <c r="R606" s="1">
        <v>46195.675208333334</v>
      </c>
      <c r="S606" s="1">
        <v>46205.869872685187</v>
      </c>
    </row>
    <row r="607" spans="1:19" x14ac:dyDescent="0.25">
      <c r="A607">
        <v>2010108618</v>
      </c>
      <c r="B607" t="s">
        <v>28</v>
      </c>
      <c r="C607" t="s">
        <v>29</v>
      </c>
      <c r="D607" t="s">
        <v>1451</v>
      </c>
      <c r="E607" t="s">
        <v>1452</v>
      </c>
      <c r="F607" t="e">
        <f>--ds-btn-active-light-icon-size</f>
        <v>#NAME?</v>
      </c>
      <c r="G607" t="s">
        <v>105</v>
      </c>
      <c r="H607" t="s">
        <v>105</v>
      </c>
      <c r="I607" t="s">
        <v>32</v>
      </c>
      <c r="J607" t="s">
        <v>78</v>
      </c>
      <c r="K607" t="s">
        <v>1159</v>
      </c>
      <c r="L607" t="s">
        <v>226</v>
      </c>
      <c r="M607" t="s">
        <v>106</v>
      </c>
      <c r="N607" t="s">
        <v>1414</v>
      </c>
      <c r="O607">
        <v>1</v>
      </c>
      <c r="P607">
        <v>0</v>
      </c>
      <c r="Q607">
        <v>0</v>
      </c>
      <c r="R607" s="1">
        <v>46195.675208333334</v>
      </c>
      <c r="S607" s="1">
        <v>46205.869872685187</v>
      </c>
    </row>
    <row r="608" spans="1:19" x14ac:dyDescent="0.25">
      <c r="A608">
        <v>2010108619</v>
      </c>
      <c r="B608" t="s">
        <v>28</v>
      </c>
      <c r="C608" t="s">
        <v>29</v>
      </c>
      <c r="D608" t="s">
        <v>1453</v>
      </c>
      <c r="E608" t="s">
        <v>1454</v>
      </c>
      <c r="F608" t="e">
        <f>--ds-btn-active-light-line-height</f>
        <v>#NAME?</v>
      </c>
      <c r="G608">
        <v>1.2</v>
      </c>
      <c r="H608">
        <v>1.2</v>
      </c>
      <c r="I608" t="s">
        <v>32</v>
      </c>
      <c r="J608" t="s">
        <v>78</v>
      </c>
      <c r="K608" t="s">
        <v>1159</v>
      </c>
      <c r="L608" t="s">
        <v>226</v>
      </c>
      <c r="M608" t="s">
        <v>109</v>
      </c>
      <c r="N608" t="s">
        <v>1414</v>
      </c>
      <c r="O608">
        <v>1</v>
      </c>
      <c r="P608">
        <v>0</v>
      </c>
      <c r="Q608">
        <v>0</v>
      </c>
      <c r="R608" s="1">
        <v>46195.675208333334</v>
      </c>
      <c r="S608" s="1">
        <v>46205.869872685187</v>
      </c>
    </row>
    <row r="609" spans="1:19" x14ac:dyDescent="0.25">
      <c r="A609">
        <v>2010108700</v>
      </c>
      <c r="B609" t="s">
        <v>28</v>
      </c>
      <c r="C609" t="s">
        <v>29</v>
      </c>
      <c r="D609" t="s">
        <v>1455</v>
      </c>
      <c r="E609" t="s">
        <v>1456</v>
      </c>
      <c r="F609" t="e">
        <f>--ds-btn-active-dark-bg</f>
        <v>#NAME?</v>
      </c>
      <c r="G609" t="s">
        <v>117</v>
      </c>
      <c r="H609" t="s">
        <v>117</v>
      </c>
      <c r="I609" t="s">
        <v>32</v>
      </c>
      <c r="J609" t="s">
        <v>24</v>
      </c>
      <c r="K609" t="s">
        <v>1159</v>
      </c>
      <c r="L609" t="s">
        <v>248</v>
      </c>
      <c r="M609" t="s">
        <v>26</v>
      </c>
      <c r="N609" t="s">
        <v>1457</v>
      </c>
      <c r="O609">
        <v>1</v>
      </c>
      <c r="P609">
        <v>1</v>
      </c>
      <c r="Q609">
        <v>0</v>
      </c>
      <c r="R609" s="1">
        <v>46195.67564814815</v>
      </c>
      <c r="S609" s="1">
        <v>46205.869872685187</v>
      </c>
    </row>
    <row r="610" spans="1:19" x14ac:dyDescent="0.25">
      <c r="A610">
        <v>2010108701</v>
      </c>
      <c r="B610" t="s">
        <v>28</v>
      </c>
      <c r="C610" t="s">
        <v>29</v>
      </c>
      <c r="D610" t="s">
        <v>1458</v>
      </c>
      <c r="E610" t="s">
        <v>1459</v>
      </c>
      <c r="F610" t="e">
        <f>--ds-btn-active-dark-text</f>
        <v>#NAME?</v>
      </c>
      <c r="G610" t="s">
        <v>37</v>
      </c>
      <c r="H610" t="s">
        <v>37</v>
      </c>
      <c r="I610" t="s">
        <v>32</v>
      </c>
      <c r="J610" t="s">
        <v>24</v>
      </c>
      <c r="K610" t="s">
        <v>1159</v>
      </c>
      <c r="L610" t="s">
        <v>248</v>
      </c>
      <c r="M610" t="s">
        <v>38</v>
      </c>
      <c r="N610" t="s">
        <v>1457</v>
      </c>
      <c r="O610">
        <v>1</v>
      </c>
      <c r="P610">
        <v>1</v>
      </c>
      <c r="Q610">
        <v>0</v>
      </c>
      <c r="R610" s="1">
        <v>46195.67564814815</v>
      </c>
      <c r="S610" s="1">
        <v>46205.869872685187</v>
      </c>
    </row>
    <row r="611" spans="1:19" x14ac:dyDescent="0.25">
      <c r="A611">
        <v>2010108702</v>
      </c>
      <c r="B611" t="s">
        <v>28</v>
      </c>
      <c r="C611" t="s">
        <v>29</v>
      </c>
      <c r="D611" t="s">
        <v>1460</v>
      </c>
      <c r="E611" t="s">
        <v>1461</v>
      </c>
      <c r="F611" t="e">
        <f>--ds-btn-active-dark-border</f>
        <v>#NAME?</v>
      </c>
      <c r="G611" t="s">
        <v>117</v>
      </c>
      <c r="H611" t="s">
        <v>117</v>
      </c>
      <c r="I611" t="s">
        <v>32</v>
      </c>
      <c r="J611" t="s">
        <v>24</v>
      </c>
      <c r="K611" t="s">
        <v>1159</v>
      </c>
      <c r="L611" t="s">
        <v>248</v>
      </c>
      <c r="M611" t="s">
        <v>42</v>
      </c>
      <c r="N611" t="s">
        <v>1457</v>
      </c>
      <c r="O611">
        <v>1</v>
      </c>
      <c r="P611">
        <v>1</v>
      </c>
      <c r="Q611">
        <v>0</v>
      </c>
      <c r="R611" s="1">
        <v>46195.67564814815</v>
      </c>
      <c r="S611" s="1">
        <v>46205.869872685187</v>
      </c>
    </row>
    <row r="612" spans="1:19" x14ac:dyDescent="0.25">
      <c r="A612">
        <v>2010108703</v>
      </c>
      <c r="B612" t="s">
        <v>28</v>
      </c>
      <c r="C612" t="s">
        <v>29</v>
      </c>
      <c r="D612" t="s">
        <v>1462</v>
      </c>
      <c r="E612" t="s">
        <v>1463</v>
      </c>
      <c r="F612" t="e">
        <f>--ds-btn-active-dark-hover-bg</f>
        <v>#NAME?</v>
      </c>
      <c r="G612" t="s">
        <v>256</v>
      </c>
      <c r="H612" t="s">
        <v>256</v>
      </c>
      <c r="I612" t="s">
        <v>32</v>
      </c>
      <c r="J612" t="s">
        <v>24</v>
      </c>
      <c r="K612" t="s">
        <v>1159</v>
      </c>
      <c r="L612" t="s">
        <v>248</v>
      </c>
      <c r="M612" t="s">
        <v>46</v>
      </c>
      <c r="N612" t="s">
        <v>1457</v>
      </c>
      <c r="O612">
        <v>1</v>
      </c>
      <c r="P612">
        <v>1</v>
      </c>
      <c r="Q612">
        <v>0</v>
      </c>
      <c r="R612" s="1">
        <v>46195.67564814815</v>
      </c>
      <c r="S612" s="1">
        <v>46205.869872685187</v>
      </c>
    </row>
    <row r="613" spans="1:19" x14ac:dyDescent="0.25">
      <c r="A613">
        <v>2010108704</v>
      </c>
      <c r="B613" t="s">
        <v>28</v>
      </c>
      <c r="C613" t="s">
        <v>29</v>
      </c>
      <c r="D613" t="s">
        <v>1464</v>
      </c>
      <c r="E613" t="s">
        <v>1465</v>
      </c>
      <c r="F613" t="e">
        <f>--ds-btn-active-dark-hover-text</f>
        <v>#NAME?</v>
      </c>
      <c r="G613" t="s">
        <v>37</v>
      </c>
      <c r="H613" t="s">
        <v>37</v>
      </c>
      <c r="I613" t="s">
        <v>32</v>
      </c>
      <c r="J613" t="s">
        <v>24</v>
      </c>
      <c r="K613" t="s">
        <v>1159</v>
      </c>
      <c r="L613" t="s">
        <v>248</v>
      </c>
      <c r="M613" t="s">
        <v>49</v>
      </c>
      <c r="N613" t="s">
        <v>1457</v>
      </c>
      <c r="O613">
        <v>1</v>
      </c>
      <c r="P613">
        <v>1</v>
      </c>
      <c r="Q613">
        <v>0</v>
      </c>
      <c r="R613" s="1">
        <v>46195.67564814815</v>
      </c>
      <c r="S613" s="1">
        <v>46205.869872685187</v>
      </c>
    </row>
    <row r="614" spans="1:19" x14ac:dyDescent="0.25">
      <c r="A614">
        <v>2010108705</v>
      </c>
      <c r="B614" t="s">
        <v>28</v>
      </c>
      <c r="C614" t="s">
        <v>29</v>
      </c>
      <c r="D614" t="s">
        <v>1466</v>
      </c>
      <c r="E614" t="s">
        <v>1467</v>
      </c>
      <c r="F614" t="e">
        <f>--ds-btn-active-dark-hover-border</f>
        <v>#NAME?</v>
      </c>
      <c r="G614" t="s">
        <v>261</v>
      </c>
      <c r="H614" t="s">
        <v>261</v>
      </c>
      <c r="I614" t="s">
        <v>32</v>
      </c>
      <c r="J614" t="s">
        <v>24</v>
      </c>
      <c r="K614" t="s">
        <v>1159</v>
      </c>
      <c r="L614" t="s">
        <v>248</v>
      </c>
      <c r="M614" t="s">
        <v>53</v>
      </c>
      <c r="N614" t="s">
        <v>1457</v>
      </c>
      <c r="O614">
        <v>1</v>
      </c>
      <c r="P614">
        <v>1</v>
      </c>
      <c r="Q614">
        <v>0</v>
      </c>
      <c r="R614" s="1">
        <v>46195.67564814815</v>
      </c>
      <c r="S614" s="1">
        <v>46205.869872685187</v>
      </c>
    </row>
    <row r="615" spans="1:19" x14ac:dyDescent="0.25">
      <c r="A615">
        <v>2010108706</v>
      </c>
      <c r="B615" t="s">
        <v>28</v>
      </c>
      <c r="C615" t="s">
        <v>29</v>
      </c>
      <c r="D615" t="s">
        <v>1468</v>
      </c>
      <c r="E615" t="s">
        <v>1469</v>
      </c>
      <c r="F615" t="e">
        <f>--ds-btn-active-dark-disabled-bg</f>
        <v>#NAME?</v>
      </c>
      <c r="G615" t="s">
        <v>1470</v>
      </c>
      <c r="H615" t="s">
        <v>1470</v>
      </c>
      <c r="I615" t="s">
        <v>32</v>
      </c>
      <c r="J615" t="s">
        <v>24</v>
      </c>
      <c r="K615" t="s">
        <v>1159</v>
      </c>
      <c r="L615" t="s">
        <v>248</v>
      </c>
      <c r="M615" t="s">
        <v>57</v>
      </c>
      <c r="N615" t="s">
        <v>1457</v>
      </c>
      <c r="O615">
        <v>1</v>
      </c>
      <c r="P615">
        <v>1</v>
      </c>
      <c r="Q615">
        <v>0</v>
      </c>
      <c r="R615" s="1">
        <v>46195.67564814815</v>
      </c>
      <c r="S615" s="1">
        <v>46205.869872685187</v>
      </c>
    </row>
    <row r="616" spans="1:19" x14ac:dyDescent="0.25">
      <c r="A616">
        <v>2010108707</v>
      </c>
      <c r="B616" t="s">
        <v>28</v>
      </c>
      <c r="C616" t="s">
        <v>29</v>
      </c>
      <c r="D616" t="s">
        <v>1471</v>
      </c>
      <c r="E616" t="s">
        <v>1472</v>
      </c>
      <c r="F616" t="e">
        <f>--ds-btn-active-dark-disabled-text</f>
        <v>#NAME?</v>
      </c>
      <c r="G616" t="s">
        <v>60</v>
      </c>
      <c r="H616" t="s">
        <v>60</v>
      </c>
      <c r="I616" t="s">
        <v>32</v>
      </c>
      <c r="J616" t="s">
        <v>24</v>
      </c>
      <c r="K616" t="s">
        <v>1159</v>
      </c>
      <c r="L616" t="s">
        <v>248</v>
      </c>
      <c r="M616" t="s">
        <v>61</v>
      </c>
      <c r="N616" t="s">
        <v>1457</v>
      </c>
      <c r="O616">
        <v>1</v>
      </c>
      <c r="P616">
        <v>1</v>
      </c>
      <c r="Q616">
        <v>0</v>
      </c>
      <c r="R616" s="1">
        <v>46195.67564814815</v>
      </c>
      <c r="S616" s="1">
        <v>46205.869872685187</v>
      </c>
    </row>
    <row r="617" spans="1:19" x14ac:dyDescent="0.25">
      <c r="A617">
        <v>2010108708</v>
      </c>
      <c r="B617" t="s">
        <v>28</v>
      </c>
      <c r="C617" t="s">
        <v>29</v>
      </c>
      <c r="D617" t="s">
        <v>1473</v>
      </c>
      <c r="E617" t="s">
        <v>1474</v>
      </c>
      <c r="F617" t="e">
        <f>--ds-btn-active-dark-disabled-border</f>
        <v>#NAME?</v>
      </c>
      <c r="G617" t="s">
        <v>1475</v>
      </c>
      <c r="H617" t="s">
        <v>1475</v>
      </c>
      <c r="I617" t="s">
        <v>32</v>
      </c>
      <c r="J617" t="s">
        <v>24</v>
      </c>
      <c r="K617" t="s">
        <v>1159</v>
      </c>
      <c r="L617" t="s">
        <v>248</v>
      </c>
      <c r="M617" t="s">
        <v>65</v>
      </c>
      <c r="N617" t="s">
        <v>1457</v>
      </c>
      <c r="O617">
        <v>1</v>
      </c>
      <c r="P617">
        <v>1</v>
      </c>
      <c r="Q617">
        <v>0</v>
      </c>
      <c r="R617" s="1">
        <v>46195.67564814815</v>
      </c>
      <c r="S617" s="1">
        <v>46205.869872685187</v>
      </c>
    </row>
    <row r="618" spans="1:19" x14ac:dyDescent="0.25">
      <c r="A618">
        <v>2010108709</v>
      </c>
      <c r="B618" t="s">
        <v>28</v>
      </c>
      <c r="C618" t="s">
        <v>29</v>
      </c>
      <c r="D618" t="s">
        <v>1476</v>
      </c>
      <c r="E618" t="s">
        <v>1477</v>
      </c>
      <c r="F618" t="e">
        <f>--ds-btn-active-dark-shadow</f>
        <v>#NAME?</v>
      </c>
      <c r="G618" t="s">
        <v>68</v>
      </c>
      <c r="H618" t="s">
        <v>68</v>
      </c>
      <c r="I618" t="s">
        <v>32</v>
      </c>
      <c r="J618" t="s">
        <v>69</v>
      </c>
      <c r="K618" t="s">
        <v>1159</v>
      </c>
      <c r="L618" t="s">
        <v>248</v>
      </c>
      <c r="M618" t="s">
        <v>70</v>
      </c>
      <c r="N618" t="s">
        <v>1457</v>
      </c>
      <c r="O618">
        <v>1</v>
      </c>
      <c r="P618">
        <v>0</v>
      </c>
      <c r="Q618">
        <v>0</v>
      </c>
      <c r="R618" s="1">
        <v>46195.67564814815</v>
      </c>
      <c r="S618" s="1">
        <v>46205.869872685187</v>
      </c>
    </row>
    <row r="619" spans="1:19" x14ac:dyDescent="0.25">
      <c r="A619">
        <v>2010108710</v>
      </c>
      <c r="B619" t="s">
        <v>28</v>
      </c>
      <c r="C619" t="s">
        <v>29</v>
      </c>
      <c r="D619" t="s">
        <v>1478</v>
      </c>
      <c r="E619" t="s">
        <v>1479</v>
      </c>
      <c r="F619" t="e">
        <f>--ds-btn-active-dark-radius</f>
        <v>#NAME?</v>
      </c>
      <c r="G619" t="s">
        <v>73</v>
      </c>
      <c r="H619" t="s">
        <v>73</v>
      </c>
      <c r="I619" t="s">
        <v>32</v>
      </c>
      <c r="J619" t="s">
        <v>69</v>
      </c>
      <c r="K619" t="s">
        <v>1159</v>
      </c>
      <c r="L619" t="s">
        <v>248</v>
      </c>
      <c r="M619" t="s">
        <v>74</v>
      </c>
      <c r="N619" t="s">
        <v>1457</v>
      </c>
      <c r="O619">
        <v>1</v>
      </c>
      <c r="P619">
        <v>0</v>
      </c>
      <c r="Q619">
        <v>0</v>
      </c>
      <c r="R619" s="1">
        <v>46195.67564814815</v>
      </c>
      <c r="S619" s="1">
        <v>46205.869872685187</v>
      </c>
    </row>
    <row r="620" spans="1:19" x14ac:dyDescent="0.25">
      <c r="A620">
        <v>2010108711</v>
      </c>
      <c r="B620" t="s">
        <v>28</v>
      </c>
      <c r="C620" t="s">
        <v>29</v>
      </c>
      <c r="D620" t="s">
        <v>1480</v>
      </c>
      <c r="E620" t="s">
        <v>1481</v>
      </c>
      <c r="F620" t="e">
        <f>--ds-btn-active-dark-padding-x</f>
        <v>#NAME?</v>
      </c>
      <c r="G620" t="s">
        <v>77</v>
      </c>
      <c r="H620" t="s">
        <v>77</v>
      </c>
      <c r="I620" t="s">
        <v>32</v>
      </c>
      <c r="J620" t="s">
        <v>78</v>
      </c>
      <c r="K620" t="s">
        <v>1159</v>
      </c>
      <c r="L620" t="s">
        <v>248</v>
      </c>
      <c r="M620" t="s">
        <v>79</v>
      </c>
      <c r="N620" t="s">
        <v>1457</v>
      </c>
      <c r="O620">
        <v>1</v>
      </c>
      <c r="P620">
        <v>0</v>
      </c>
      <c r="Q620">
        <v>0</v>
      </c>
      <c r="R620" s="1">
        <v>46195.67564814815</v>
      </c>
      <c r="S620" s="1">
        <v>46205.869872685187</v>
      </c>
    </row>
    <row r="621" spans="1:19" x14ac:dyDescent="0.25">
      <c r="A621">
        <v>2010108712</v>
      </c>
      <c r="B621" t="s">
        <v>28</v>
      </c>
      <c r="C621" t="s">
        <v>29</v>
      </c>
      <c r="D621" t="s">
        <v>1482</v>
      </c>
      <c r="E621" t="s">
        <v>1483</v>
      </c>
      <c r="F621" t="e">
        <f>--ds-btn-active-dark-padding-y</f>
        <v>#NAME?</v>
      </c>
      <c r="G621" t="s">
        <v>82</v>
      </c>
      <c r="H621" t="s">
        <v>82</v>
      </c>
      <c r="I621" t="s">
        <v>32</v>
      </c>
      <c r="J621" t="s">
        <v>78</v>
      </c>
      <c r="K621" t="s">
        <v>1159</v>
      </c>
      <c r="L621" t="s">
        <v>248</v>
      </c>
      <c r="M621" t="s">
        <v>83</v>
      </c>
      <c r="N621" t="s">
        <v>1457</v>
      </c>
      <c r="O621">
        <v>1</v>
      </c>
      <c r="P621">
        <v>0</v>
      </c>
      <c r="Q621">
        <v>0</v>
      </c>
      <c r="R621" s="1">
        <v>46195.67564814815</v>
      </c>
      <c r="S621" s="1">
        <v>46205.869872685187</v>
      </c>
    </row>
    <row r="622" spans="1:19" x14ac:dyDescent="0.25">
      <c r="A622">
        <v>2010108713</v>
      </c>
      <c r="B622" t="s">
        <v>28</v>
      </c>
      <c r="C622" t="s">
        <v>29</v>
      </c>
      <c r="D622" t="s">
        <v>1484</v>
      </c>
      <c r="E622" t="s">
        <v>1485</v>
      </c>
      <c r="F622" t="e">
        <f>--ds-btn-active-dark-gap</f>
        <v>#NAME?</v>
      </c>
      <c r="G622" t="s">
        <v>86</v>
      </c>
      <c r="H622" t="s">
        <v>86</v>
      </c>
      <c r="I622" t="s">
        <v>32</v>
      </c>
      <c r="J622" t="s">
        <v>78</v>
      </c>
      <c r="K622" t="s">
        <v>1159</v>
      </c>
      <c r="L622" t="s">
        <v>248</v>
      </c>
      <c r="M622" t="s">
        <v>87</v>
      </c>
      <c r="N622" t="s">
        <v>1457</v>
      </c>
      <c r="O622">
        <v>1</v>
      </c>
      <c r="P622">
        <v>0</v>
      </c>
      <c r="Q622">
        <v>0</v>
      </c>
      <c r="R622" s="1">
        <v>46195.67564814815</v>
      </c>
      <c r="S622" s="1">
        <v>46205.869872685187</v>
      </c>
    </row>
    <row r="623" spans="1:19" x14ac:dyDescent="0.25">
      <c r="A623">
        <v>2010108714</v>
      </c>
      <c r="B623" t="s">
        <v>28</v>
      </c>
      <c r="C623" t="s">
        <v>29</v>
      </c>
      <c r="D623" t="s">
        <v>1486</v>
      </c>
      <c r="E623" t="s">
        <v>1487</v>
      </c>
      <c r="F623" t="e">
        <f>--ds-btn-active-dark-focus-ring</f>
        <v>#NAME?</v>
      </c>
      <c r="G623" t="s">
        <v>1488</v>
      </c>
      <c r="H623" t="s">
        <v>1488</v>
      </c>
      <c r="I623" t="s">
        <v>32</v>
      </c>
      <c r="J623" t="s">
        <v>69</v>
      </c>
      <c r="K623" t="s">
        <v>1159</v>
      </c>
      <c r="L623" t="s">
        <v>248</v>
      </c>
      <c r="M623" t="s">
        <v>91</v>
      </c>
      <c r="N623" t="s">
        <v>1457</v>
      </c>
      <c r="O623">
        <v>1</v>
      </c>
      <c r="P623">
        <v>0</v>
      </c>
      <c r="Q623">
        <v>0</v>
      </c>
      <c r="R623" s="1">
        <v>46195.67564814815</v>
      </c>
      <c r="S623" s="1">
        <v>46205.869872685187</v>
      </c>
    </row>
    <row r="624" spans="1:19" x14ac:dyDescent="0.25">
      <c r="A624">
        <v>2010108715</v>
      </c>
      <c r="B624" t="s">
        <v>28</v>
      </c>
      <c r="C624" t="s">
        <v>29</v>
      </c>
      <c r="D624" t="s">
        <v>1489</v>
      </c>
      <c r="E624" t="s">
        <v>1490</v>
      </c>
      <c r="F624" t="e">
        <f>--ds-btn-active-dark-outline</f>
        <v>#NAME?</v>
      </c>
      <c r="G624" t="s">
        <v>94</v>
      </c>
      <c r="H624" t="s">
        <v>94</v>
      </c>
      <c r="I624" t="s">
        <v>32</v>
      </c>
      <c r="J624" t="s">
        <v>69</v>
      </c>
      <c r="K624" t="s">
        <v>1159</v>
      </c>
      <c r="L624" t="s">
        <v>248</v>
      </c>
      <c r="M624" t="s">
        <v>95</v>
      </c>
      <c r="N624" t="s">
        <v>1457</v>
      </c>
      <c r="O624">
        <v>1</v>
      </c>
      <c r="P624">
        <v>0</v>
      </c>
      <c r="Q624">
        <v>0</v>
      </c>
      <c r="R624" s="1">
        <v>46195.67564814815</v>
      </c>
      <c r="S624" s="1">
        <v>46205.869872685187</v>
      </c>
    </row>
    <row r="625" spans="1:19" x14ac:dyDescent="0.25">
      <c r="A625">
        <v>2010108716</v>
      </c>
      <c r="B625" t="s">
        <v>28</v>
      </c>
      <c r="C625" t="s">
        <v>29</v>
      </c>
      <c r="D625" t="s">
        <v>1491</v>
      </c>
      <c r="E625" t="s">
        <v>1492</v>
      </c>
      <c r="F625" t="e">
        <f>--ds-btn-active-dark-transition</f>
        <v>#NAME?</v>
      </c>
      <c r="G625" t="s">
        <v>98</v>
      </c>
      <c r="H625" t="s">
        <v>98</v>
      </c>
      <c r="I625" t="s">
        <v>32</v>
      </c>
      <c r="J625" t="s">
        <v>69</v>
      </c>
      <c r="K625" t="s">
        <v>1159</v>
      </c>
      <c r="L625" t="s">
        <v>248</v>
      </c>
      <c r="M625" t="s">
        <v>99</v>
      </c>
      <c r="N625" t="s">
        <v>1457</v>
      </c>
      <c r="O625">
        <v>1</v>
      </c>
      <c r="P625">
        <v>0</v>
      </c>
      <c r="Q625">
        <v>0</v>
      </c>
      <c r="R625" s="1">
        <v>46195.67564814815</v>
      </c>
      <c r="S625" s="1">
        <v>46205.869872685187</v>
      </c>
    </row>
    <row r="626" spans="1:19" x14ac:dyDescent="0.25">
      <c r="A626">
        <v>2010108717</v>
      </c>
      <c r="B626" t="s">
        <v>28</v>
      </c>
      <c r="C626" t="s">
        <v>29</v>
      </c>
      <c r="D626" t="s">
        <v>1493</v>
      </c>
      <c r="E626" t="s">
        <v>1494</v>
      </c>
      <c r="F626" t="e">
        <f>--ds-btn-active-dark-icon-color</f>
        <v>#NAME?</v>
      </c>
      <c r="G626" t="s">
        <v>37</v>
      </c>
      <c r="H626" t="s">
        <v>37</v>
      </c>
      <c r="I626" t="s">
        <v>32</v>
      </c>
      <c r="J626" t="s">
        <v>24</v>
      </c>
      <c r="K626" t="s">
        <v>1159</v>
      </c>
      <c r="L626" t="s">
        <v>248</v>
      </c>
      <c r="M626" t="s">
        <v>102</v>
      </c>
      <c r="N626" t="s">
        <v>1457</v>
      </c>
      <c r="O626">
        <v>1</v>
      </c>
      <c r="P626">
        <v>0</v>
      </c>
      <c r="Q626">
        <v>0</v>
      </c>
      <c r="R626" s="1">
        <v>46195.67564814815</v>
      </c>
      <c r="S626" s="1">
        <v>46205.869872685187</v>
      </c>
    </row>
    <row r="627" spans="1:19" x14ac:dyDescent="0.25">
      <c r="A627">
        <v>2010108718</v>
      </c>
      <c r="B627" t="s">
        <v>28</v>
      </c>
      <c r="C627" t="s">
        <v>29</v>
      </c>
      <c r="D627" t="s">
        <v>1495</v>
      </c>
      <c r="E627" t="s">
        <v>1496</v>
      </c>
      <c r="F627" t="e">
        <f>--ds-btn-active-dark-icon-size</f>
        <v>#NAME?</v>
      </c>
      <c r="G627" t="s">
        <v>105</v>
      </c>
      <c r="H627" t="s">
        <v>105</v>
      </c>
      <c r="I627" t="s">
        <v>32</v>
      </c>
      <c r="J627" t="s">
        <v>78</v>
      </c>
      <c r="K627" t="s">
        <v>1159</v>
      </c>
      <c r="L627" t="s">
        <v>248</v>
      </c>
      <c r="M627" t="s">
        <v>106</v>
      </c>
      <c r="N627" t="s">
        <v>1457</v>
      </c>
      <c r="O627">
        <v>1</v>
      </c>
      <c r="P627">
        <v>0</v>
      </c>
      <c r="Q627">
        <v>0</v>
      </c>
      <c r="R627" s="1">
        <v>46195.67564814815</v>
      </c>
      <c r="S627" s="1">
        <v>46205.869872685187</v>
      </c>
    </row>
    <row r="628" spans="1:19" x14ac:dyDescent="0.25">
      <c r="A628">
        <v>2010108719</v>
      </c>
      <c r="B628" t="s">
        <v>28</v>
      </c>
      <c r="C628" t="s">
        <v>29</v>
      </c>
      <c r="D628" t="s">
        <v>1497</v>
      </c>
      <c r="E628" t="s">
        <v>1498</v>
      </c>
      <c r="F628" t="e">
        <f>--ds-btn-active-dark-line-height</f>
        <v>#NAME?</v>
      </c>
      <c r="G628">
        <v>1.2</v>
      </c>
      <c r="H628">
        <v>1.2</v>
      </c>
      <c r="I628" t="s">
        <v>32</v>
      </c>
      <c r="J628" t="s">
        <v>78</v>
      </c>
      <c r="K628" t="s">
        <v>1159</v>
      </c>
      <c r="L628" t="s">
        <v>248</v>
      </c>
      <c r="M628" t="s">
        <v>109</v>
      </c>
      <c r="N628" t="s">
        <v>1457</v>
      </c>
      <c r="O628">
        <v>1</v>
      </c>
      <c r="P628">
        <v>0</v>
      </c>
      <c r="Q628">
        <v>0</v>
      </c>
      <c r="R628" s="1">
        <v>46195.67564814815</v>
      </c>
      <c r="S628" s="1">
        <v>46205.869872685187</v>
      </c>
    </row>
    <row r="629" spans="1:19" x14ac:dyDescent="0.25">
      <c r="A629">
        <v>2010109000</v>
      </c>
      <c r="B629" t="s">
        <v>28</v>
      </c>
      <c r="C629" t="s">
        <v>29</v>
      </c>
      <c r="D629" t="s">
        <v>1499</v>
      </c>
      <c r="E629" t="s">
        <v>1500</v>
      </c>
      <c r="F629" t="e">
        <f>--ds-btn-disabled-primary-bg</f>
        <v>#NAME?</v>
      </c>
      <c r="G629" t="s">
        <v>56</v>
      </c>
      <c r="H629" t="s">
        <v>56</v>
      </c>
      <c r="I629" t="s">
        <v>32</v>
      </c>
      <c r="J629" t="s">
        <v>24</v>
      </c>
      <c r="K629" t="s">
        <v>131</v>
      </c>
      <c r="L629" t="s">
        <v>25</v>
      </c>
      <c r="M629" t="s">
        <v>26</v>
      </c>
      <c r="N629" t="s">
        <v>1501</v>
      </c>
      <c r="O629">
        <v>1</v>
      </c>
      <c r="P629">
        <v>1</v>
      </c>
      <c r="Q629">
        <v>0</v>
      </c>
      <c r="R629" s="1">
        <v>46195.676238425927</v>
      </c>
      <c r="S629" s="1">
        <v>46205.872361111113</v>
      </c>
    </row>
    <row r="630" spans="1:19" x14ac:dyDescent="0.25">
      <c r="A630">
        <v>2010109001</v>
      </c>
      <c r="B630" t="s">
        <v>28</v>
      </c>
      <c r="C630" t="s">
        <v>29</v>
      </c>
      <c r="D630" t="s">
        <v>1502</v>
      </c>
      <c r="E630" t="s">
        <v>1503</v>
      </c>
      <c r="F630" t="e">
        <f>--ds-btn-disabled-primary-text</f>
        <v>#NAME?</v>
      </c>
      <c r="G630" t="s">
        <v>60</v>
      </c>
      <c r="H630" t="s">
        <v>60</v>
      </c>
      <c r="I630" t="s">
        <v>32</v>
      </c>
      <c r="J630" t="s">
        <v>24</v>
      </c>
      <c r="K630" t="s">
        <v>131</v>
      </c>
      <c r="L630" t="s">
        <v>25</v>
      </c>
      <c r="M630" t="s">
        <v>38</v>
      </c>
      <c r="N630" t="s">
        <v>1501</v>
      </c>
      <c r="O630">
        <v>1</v>
      </c>
      <c r="P630">
        <v>1</v>
      </c>
      <c r="Q630">
        <v>0</v>
      </c>
      <c r="R630" s="1">
        <v>46195.676238425927</v>
      </c>
      <c r="S630" s="1">
        <v>46205.872361111113</v>
      </c>
    </row>
    <row r="631" spans="1:19" x14ac:dyDescent="0.25">
      <c r="A631">
        <v>2010109002</v>
      </c>
      <c r="B631" t="s">
        <v>28</v>
      </c>
      <c r="C631" t="s">
        <v>29</v>
      </c>
      <c r="D631" t="s">
        <v>1504</v>
      </c>
      <c r="E631" t="s">
        <v>1505</v>
      </c>
      <c r="F631" t="e">
        <f>--ds-btn-disabled-primary-border</f>
        <v>#NAME?</v>
      </c>
      <c r="G631" t="s">
        <v>64</v>
      </c>
      <c r="H631" t="s">
        <v>64</v>
      </c>
      <c r="I631" t="s">
        <v>32</v>
      </c>
      <c r="J631" t="s">
        <v>24</v>
      </c>
      <c r="K631" t="s">
        <v>131</v>
      </c>
      <c r="L631" t="s">
        <v>25</v>
      </c>
      <c r="M631" t="s">
        <v>42</v>
      </c>
      <c r="N631" t="s">
        <v>1501</v>
      </c>
      <c r="O631">
        <v>1</v>
      </c>
      <c r="P631">
        <v>1</v>
      </c>
      <c r="Q631">
        <v>0</v>
      </c>
      <c r="R631" s="1">
        <v>46195.676238425927</v>
      </c>
      <c r="S631" s="1">
        <v>46205.872361111113</v>
      </c>
    </row>
    <row r="632" spans="1:19" x14ac:dyDescent="0.25">
      <c r="A632">
        <v>2010109003</v>
      </c>
      <c r="B632" t="s">
        <v>28</v>
      </c>
      <c r="C632" t="s">
        <v>29</v>
      </c>
      <c r="D632" t="s">
        <v>1506</v>
      </c>
      <c r="E632" t="s">
        <v>1507</v>
      </c>
      <c r="F632" t="e">
        <f>--ds-btn-disabled-primary-hover-bg</f>
        <v>#NAME?</v>
      </c>
      <c r="G632" t="s">
        <v>56</v>
      </c>
      <c r="H632" t="s">
        <v>56</v>
      </c>
      <c r="I632" t="s">
        <v>32</v>
      </c>
      <c r="J632" t="s">
        <v>24</v>
      </c>
      <c r="K632" t="s">
        <v>131</v>
      </c>
      <c r="L632" t="s">
        <v>25</v>
      </c>
      <c r="M632" t="s">
        <v>46</v>
      </c>
      <c r="N632" t="s">
        <v>1501</v>
      </c>
      <c r="O632">
        <v>1</v>
      </c>
      <c r="P632">
        <v>1</v>
      </c>
      <c r="Q632">
        <v>0</v>
      </c>
      <c r="R632" s="1">
        <v>46195.676238425927</v>
      </c>
      <c r="S632" s="1">
        <v>46205.872361111113</v>
      </c>
    </row>
    <row r="633" spans="1:19" x14ac:dyDescent="0.25">
      <c r="A633">
        <v>2010109004</v>
      </c>
      <c r="B633" t="s">
        <v>28</v>
      </c>
      <c r="C633" t="s">
        <v>29</v>
      </c>
      <c r="D633" t="s">
        <v>1508</v>
      </c>
      <c r="E633" t="s">
        <v>1509</v>
      </c>
      <c r="F633" t="e">
        <f>--ds-btn-disabled-primary-hover-text</f>
        <v>#NAME?</v>
      </c>
      <c r="G633" t="s">
        <v>60</v>
      </c>
      <c r="H633" t="s">
        <v>60</v>
      </c>
      <c r="I633" t="s">
        <v>32</v>
      </c>
      <c r="J633" t="s">
        <v>24</v>
      </c>
      <c r="K633" t="s">
        <v>131</v>
      </c>
      <c r="L633" t="s">
        <v>25</v>
      </c>
      <c r="M633" t="s">
        <v>49</v>
      </c>
      <c r="N633" t="s">
        <v>1501</v>
      </c>
      <c r="O633">
        <v>1</v>
      </c>
      <c r="P633">
        <v>1</v>
      </c>
      <c r="Q633">
        <v>0</v>
      </c>
      <c r="R633" s="1">
        <v>46195.676238425927</v>
      </c>
      <c r="S633" s="1">
        <v>46205.872361111113</v>
      </c>
    </row>
    <row r="634" spans="1:19" x14ac:dyDescent="0.25">
      <c r="A634">
        <v>2010109005</v>
      </c>
      <c r="B634" t="s">
        <v>28</v>
      </c>
      <c r="C634" t="s">
        <v>29</v>
      </c>
      <c r="D634" t="s">
        <v>1510</v>
      </c>
      <c r="E634" t="s">
        <v>1511</v>
      </c>
      <c r="F634" t="e">
        <f>--ds-btn-disabled-primary-hover-border</f>
        <v>#NAME?</v>
      </c>
      <c r="G634" t="s">
        <v>64</v>
      </c>
      <c r="H634" t="s">
        <v>64</v>
      </c>
      <c r="I634" t="s">
        <v>32</v>
      </c>
      <c r="J634" t="s">
        <v>24</v>
      </c>
      <c r="K634" t="s">
        <v>131</v>
      </c>
      <c r="L634" t="s">
        <v>25</v>
      </c>
      <c r="M634" t="s">
        <v>53</v>
      </c>
      <c r="N634" t="s">
        <v>1501</v>
      </c>
      <c r="O634">
        <v>1</v>
      </c>
      <c r="P634">
        <v>1</v>
      </c>
      <c r="Q634">
        <v>0</v>
      </c>
      <c r="R634" s="1">
        <v>46195.676238425927</v>
      </c>
      <c r="S634" s="1">
        <v>46205.872361111113</v>
      </c>
    </row>
    <row r="635" spans="1:19" x14ac:dyDescent="0.25">
      <c r="A635">
        <v>2010109006</v>
      </c>
      <c r="B635" t="s">
        <v>28</v>
      </c>
      <c r="C635" t="s">
        <v>29</v>
      </c>
      <c r="D635" t="s">
        <v>1512</v>
      </c>
      <c r="E635" t="s">
        <v>1513</v>
      </c>
      <c r="F635" t="e">
        <f>--ds-btn-disabled-primary-disabled-bg</f>
        <v>#NAME?</v>
      </c>
      <c r="G635" t="s">
        <v>56</v>
      </c>
      <c r="H635" t="s">
        <v>56</v>
      </c>
      <c r="I635" t="s">
        <v>32</v>
      </c>
      <c r="J635" t="s">
        <v>24</v>
      </c>
      <c r="K635" t="s">
        <v>131</v>
      </c>
      <c r="L635" t="s">
        <v>25</v>
      </c>
      <c r="M635" t="s">
        <v>57</v>
      </c>
      <c r="N635" t="s">
        <v>1501</v>
      </c>
      <c r="O635">
        <v>1</v>
      </c>
      <c r="P635">
        <v>1</v>
      </c>
      <c r="Q635">
        <v>0</v>
      </c>
      <c r="R635" s="1">
        <v>46195.676238425927</v>
      </c>
      <c r="S635" s="1">
        <v>46205.872361111113</v>
      </c>
    </row>
    <row r="636" spans="1:19" x14ac:dyDescent="0.25">
      <c r="A636">
        <v>2010109007</v>
      </c>
      <c r="B636" t="s">
        <v>28</v>
      </c>
      <c r="C636" t="s">
        <v>29</v>
      </c>
      <c r="D636" t="s">
        <v>1514</v>
      </c>
      <c r="E636" t="s">
        <v>1515</v>
      </c>
      <c r="F636" t="e">
        <f>--ds-btn-disabled-primary-disabled-text</f>
        <v>#NAME?</v>
      </c>
      <c r="G636" t="s">
        <v>60</v>
      </c>
      <c r="H636" t="s">
        <v>60</v>
      </c>
      <c r="I636" t="s">
        <v>32</v>
      </c>
      <c r="J636" t="s">
        <v>24</v>
      </c>
      <c r="K636" t="s">
        <v>131</v>
      </c>
      <c r="L636" t="s">
        <v>25</v>
      </c>
      <c r="M636" t="s">
        <v>61</v>
      </c>
      <c r="N636" t="s">
        <v>1501</v>
      </c>
      <c r="O636">
        <v>1</v>
      </c>
      <c r="P636">
        <v>1</v>
      </c>
      <c r="Q636">
        <v>0</v>
      </c>
      <c r="R636" s="1">
        <v>46195.676238425927</v>
      </c>
      <c r="S636" s="1">
        <v>46205.872361111113</v>
      </c>
    </row>
    <row r="637" spans="1:19" x14ac:dyDescent="0.25">
      <c r="A637">
        <v>2010109008</v>
      </c>
      <c r="B637" t="s">
        <v>28</v>
      </c>
      <c r="C637" t="s">
        <v>29</v>
      </c>
      <c r="D637" t="s">
        <v>1516</v>
      </c>
      <c r="E637" t="s">
        <v>1517</v>
      </c>
      <c r="F637" t="e">
        <f>--ds-btn-disabled-primary-disabled-border</f>
        <v>#NAME?</v>
      </c>
      <c r="G637" t="s">
        <v>64</v>
      </c>
      <c r="H637" t="s">
        <v>64</v>
      </c>
      <c r="I637" t="s">
        <v>32</v>
      </c>
      <c r="J637" t="s">
        <v>24</v>
      </c>
      <c r="K637" t="s">
        <v>131</v>
      </c>
      <c r="L637" t="s">
        <v>25</v>
      </c>
      <c r="M637" t="s">
        <v>65</v>
      </c>
      <c r="N637" t="s">
        <v>1501</v>
      </c>
      <c r="O637">
        <v>1</v>
      </c>
      <c r="P637">
        <v>1</v>
      </c>
      <c r="Q637">
        <v>0</v>
      </c>
      <c r="R637" s="1">
        <v>46195.676238425927</v>
      </c>
      <c r="S637" s="1">
        <v>46205.872361111113</v>
      </c>
    </row>
    <row r="638" spans="1:19" x14ac:dyDescent="0.25">
      <c r="A638">
        <v>2010109009</v>
      </c>
      <c r="B638" t="s">
        <v>28</v>
      </c>
      <c r="C638" t="s">
        <v>29</v>
      </c>
      <c r="D638" t="s">
        <v>1518</v>
      </c>
      <c r="E638" t="s">
        <v>1519</v>
      </c>
      <c r="F638" t="e">
        <f>--ds-btn-disabled-primary-shadow</f>
        <v>#NAME?</v>
      </c>
      <c r="G638" t="s">
        <v>68</v>
      </c>
      <c r="H638" t="s">
        <v>68</v>
      </c>
      <c r="I638" t="s">
        <v>32</v>
      </c>
      <c r="J638" t="s">
        <v>69</v>
      </c>
      <c r="K638" t="s">
        <v>131</v>
      </c>
      <c r="L638" t="s">
        <v>25</v>
      </c>
      <c r="M638" t="s">
        <v>70</v>
      </c>
      <c r="N638" t="s">
        <v>1501</v>
      </c>
      <c r="O638">
        <v>1</v>
      </c>
      <c r="P638">
        <v>0</v>
      </c>
      <c r="Q638">
        <v>0</v>
      </c>
      <c r="R638" s="1">
        <v>46195.676238425927</v>
      </c>
      <c r="S638" s="1">
        <v>46205.872361111113</v>
      </c>
    </row>
    <row r="639" spans="1:19" x14ac:dyDescent="0.25">
      <c r="A639">
        <v>2010109010</v>
      </c>
      <c r="B639" t="s">
        <v>28</v>
      </c>
      <c r="C639" t="s">
        <v>29</v>
      </c>
      <c r="D639" t="s">
        <v>1520</v>
      </c>
      <c r="E639" t="s">
        <v>1521</v>
      </c>
      <c r="F639" t="e">
        <f>--ds-btn-disabled-primary-radius</f>
        <v>#NAME?</v>
      </c>
      <c r="G639" t="s">
        <v>73</v>
      </c>
      <c r="H639" t="s">
        <v>73</v>
      </c>
      <c r="I639" t="s">
        <v>32</v>
      </c>
      <c r="J639" t="s">
        <v>69</v>
      </c>
      <c r="K639" t="s">
        <v>131</v>
      </c>
      <c r="L639" t="s">
        <v>25</v>
      </c>
      <c r="M639" t="s">
        <v>74</v>
      </c>
      <c r="N639" t="s">
        <v>1501</v>
      </c>
      <c r="O639">
        <v>1</v>
      </c>
      <c r="P639">
        <v>0</v>
      </c>
      <c r="Q639">
        <v>0</v>
      </c>
      <c r="R639" s="1">
        <v>46195.676238425927</v>
      </c>
      <c r="S639" s="1">
        <v>46205.872361111113</v>
      </c>
    </row>
    <row r="640" spans="1:19" x14ac:dyDescent="0.25">
      <c r="A640">
        <v>2010109011</v>
      </c>
      <c r="B640" t="s">
        <v>28</v>
      </c>
      <c r="C640" t="s">
        <v>29</v>
      </c>
      <c r="D640" t="s">
        <v>1522</v>
      </c>
      <c r="E640" t="s">
        <v>1523</v>
      </c>
      <c r="F640" t="e">
        <f>--ds-btn-disabled-primary-padding-x</f>
        <v>#NAME?</v>
      </c>
      <c r="G640" t="s">
        <v>77</v>
      </c>
      <c r="H640" t="s">
        <v>77</v>
      </c>
      <c r="I640" t="s">
        <v>32</v>
      </c>
      <c r="J640" t="s">
        <v>78</v>
      </c>
      <c r="K640" t="s">
        <v>131</v>
      </c>
      <c r="L640" t="s">
        <v>25</v>
      </c>
      <c r="M640" t="s">
        <v>79</v>
      </c>
      <c r="N640" t="s">
        <v>1501</v>
      </c>
      <c r="O640">
        <v>1</v>
      </c>
      <c r="P640">
        <v>0</v>
      </c>
      <c r="Q640">
        <v>0</v>
      </c>
      <c r="R640" s="1">
        <v>46195.676238425927</v>
      </c>
      <c r="S640" s="1">
        <v>46205.872361111113</v>
      </c>
    </row>
    <row r="641" spans="1:19" x14ac:dyDescent="0.25">
      <c r="A641">
        <v>2010109012</v>
      </c>
      <c r="B641" t="s">
        <v>28</v>
      </c>
      <c r="C641" t="s">
        <v>29</v>
      </c>
      <c r="D641" t="s">
        <v>1524</v>
      </c>
      <c r="E641" t="s">
        <v>1525</v>
      </c>
      <c r="F641" t="e">
        <f>--ds-btn-disabled-primary-padding-y</f>
        <v>#NAME?</v>
      </c>
      <c r="G641" t="s">
        <v>82</v>
      </c>
      <c r="H641" t="s">
        <v>82</v>
      </c>
      <c r="I641" t="s">
        <v>32</v>
      </c>
      <c r="J641" t="s">
        <v>78</v>
      </c>
      <c r="K641" t="s">
        <v>131</v>
      </c>
      <c r="L641" t="s">
        <v>25</v>
      </c>
      <c r="M641" t="s">
        <v>83</v>
      </c>
      <c r="N641" t="s">
        <v>1501</v>
      </c>
      <c r="O641">
        <v>1</v>
      </c>
      <c r="P641">
        <v>0</v>
      </c>
      <c r="Q641">
        <v>0</v>
      </c>
      <c r="R641" s="1">
        <v>46195.676238425927</v>
      </c>
      <c r="S641" s="1">
        <v>46205.872361111113</v>
      </c>
    </row>
    <row r="642" spans="1:19" x14ac:dyDescent="0.25">
      <c r="A642">
        <v>2010109013</v>
      </c>
      <c r="B642" t="s">
        <v>28</v>
      </c>
      <c r="C642" t="s">
        <v>29</v>
      </c>
      <c r="D642" t="s">
        <v>1526</v>
      </c>
      <c r="E642" t="s">
        <v>1527</v>
      </c>
      <c r="F642" t="e">
        <f>--ds-btn-disabled-primary-gap</f>
        <v>#NAME?</v>
      </c>
      <c r="G642" t="s">
        <v>86</v>
      </c>
      <c r="H642" t="s">
        <v>86</v>
      </c>
      <c r="I642" t="s">
        <v>32</v>
      </c>
      <c r="J642" t="s">
        <v>78</v>
      </c>
      <c r="K642" t="s">
        <v>131</v>
      </c>
      <c r="L642" t="s">
        <v>25</v>
      </c>
      <c r="M642" t="s">
        <v>87</v>
      </c>
      <c r="N642" t="s">
        <v>1501</v>
      </c>
      <c r="O642">
        <v>1</v>
      </c>
      <c r="P642">
        <v>0</v>
      </c>
      <c r="Q642">
        <v>0</v>
      </c>
      <c r="R642" s="1">
        <v>46195.676238425927</v>
      </c>
      <c r="S642" s="1">
        <v>46205.872361111113</v>
      </c>
    </row>
    <row r="643" spans="1:19" x14ac:dyDescent="0.25">
      <c r="A643">
        <v>2010109014</v>
      </c>
      <c r="B643" t="s">
        <v>28</v>
      </c>
      <c r="C643" t="s">
        <v>29</v>
      </c>
      <c r="D643" t="s">
        <v>1528</v>
      </c>
      <c r="E643" t="s">
        <v>1529</v>
      </c>
      <c r="F643" t="e">
        <f>--ds-btn-disabled-primary-focus-ring</f>
        <v>#NAME?</v>
      </c>
      <c r="G643" t="s">
        <v>1530</v>
      </c>
      <c r="H643" t="s">
        <v>1530</v>
      </c>
      <c r="I643" t="s">
        <v>32</v>
      </c>
      <c r="J643" t="s">
        <v>69</v>
      </c>
      <c r="K643" t="s">
        <v>131</v>
      </c>
      <c r="L643" t="s">
        <v>25</v>
      </c>
      <c r="M643" t="s">
        <v>91</v>
      </c>
      <c r="N643" t="s">
        <v>1501</v>
      </c>
      <c r="O643">
        <v>1</v>
      </c>
      <c r="P643">
        <v>0</v>
      </c>
      <c r="Q643">
        <v>0</v>
      </c>
      <c r="R643" s="1">
        <v>46195.676238425927</v>
      </c>
      <c r="S643" s="1">
        <v>46205.872361111113</v>
      </c>
    </row>
    <row r="644" spans="1:19" x14ac:dyDescent="0.25">
      <c r="A644">
        <v>2010109015</v>
      </c>
      <c r="B644" t="s">
        <v>28</v>
      </c>
      <c r="C644" t="s">
        <v>29</v>
      </c>
      <c r="D644" t="s">
        <v>1531</v>
      </c>
      <c r="E644" t="s">
        <v>1532</v>
      </c>
      <c r="F644" t="e">
        <f>--ds-btn-disabled-primary-outline</f>
        <v>#NAME?</v>
      </c>
      <c r="G644" t="s">
        <v>94</v>
      </c>
      <c r="H644" t="s">
        <v>94</v>
      </c>
      <c r="I644" t="s">
        <v>32</v>
      </c>
      <c r="J644" t="s">
        <v>69</v>
      </c>
      <c r="K644" t="s">
        <v>131</v>
      </c>
      <c r="L644" t="s">
        <v>25</v>
      </c>
      <c r="M644" t="s">
        <v>95</v>
      </c>
      <c r="N644" t="s">
        <v>1501</v>
      </c>
      <c r="O644">
        <v>1</v>
      </c>
      <c r="P644">
        <v>0</v>
      </c>
      <c r="Q644">
        <v>0</v>
      </c>
      <c r="R644" s="1">
        <v>46195.676238425927</v>
      </c>
      <c r="S644" s="1">
        <v>46205.872361111113</v>
      </c>
    </row>
    <row r="645" spans="1:19" x14ac:dyDescent="0.25">
      <c r="A645">
        <v>2010109016</v>
      </c>
      <c r="B645" t="s">
        <v>28</v>
      </c>
      <c r="C645" t="s">
        <v>29</v>
      </c>
      <c r="D645" t="s">
        <v>1533</v>
      </c>
      <c r="E645" t="s">
        <v>1534</v>
      </c>
      <c r="F645" t="e">
        <f>--ds-btn-disabled-primary-transition</f>
        <v>#NAME?</v>
      </c>
      <c r="G645" t="s">
        <v>98</v>
      </c>
      <c r="H645" t="s">
        <v>98</v>
      </c>
      <c r="I645" t="s">
        <v>32</v>
      </c>
      <c r="J645" t="s">
        <v>69</v>
      </c>
      <c r="K645" t="s">
        <v>131</v>
      </c>
      <c r="L645" t="s">
        <v>25</v>
      </c>
      <c r="M645" t="s">
        <v>99</v>
      </c>
      <c r="N645" t="s">
        <v>1501</v>
      </c>
      <c r="O645">
        <v>1</v>
      </c>
      <c r="P645">
        <v>0</v>
      </c>
      <c r="Q645">
        <v>0</v>
      </c>
      <c r="R645" s="1">
        <v>46195.676238425927</v>
      </c>
      <c r="S645" s="1">
        <v>46205.872361111113</v>
      </c>
    </row>
    <row r="646" spans="1:19" x14ac:dyDescent="0.25">
      <c r="A646">
        <v>2010109017</v>
      </c>
      <c r="B646" t="s">
        <v>28</v>
      </c>
      <c r="C646" t="s">
        <v>29</v>
      </c>
      <c r="D646" t="s">
        <v>1535</v>
      </c>
      <c r="E646" t="s">
        <v>1536</v>
      </c>
      <c r="F646" t="e">
        <f>--ds-btn-disabled-primary-icon-color</f>
        <v>#NAME?</v>
      </c>
      <c r="G646" t="s">
        <v>60</v>
      </c>
      <c r="H646" t="s">
        <v>60</v>
      </c>
      <c r="I646" t="s">
        <v>32</v>
      </c>
      <c r="J646" t="s">
        <v>24</v>
      </c>
      <c r="K646" t="s">
        <v>131</v>
      </c>
      <c r="L646" t="s">
        <v>25</v>
      </c>
      <c r="M646" t="s">
        <v>102</v>
      </c>
      <c r="N646" t="s">
        <v>1501</v>
      </c>
      <c r="O646">
        <v>1</v>
      </c>
      <c r="P646">
        <v>0</v>
      </c>
      <c r="Q646">
        <v>0</v>
      </c>
      <c r="R646" s="1">
        <v>46195.676238425927</v>
      </c>
      <c r="S646" s="1">
        <v>46205.872361111113</v>
      </c>
    </row>
    <row r="647" spans="1:19" x14ac:dyDescent="0.25">
      <c r="A647">
        <v>2010109018</v>
      </c>
      <c r="B647" t="s">
        <v>28</v>
      </c>
      <c r="C647" t="s">
        <v>29</v>
      </c>
      <c r="D647" t="s">
        <v>1537</v>
      </c>
      <c r="E647" t="s">
        <v>1538</v>
      </c>
      <c r="F647" t="e">
        <f>--ds-btn-disabled-primary-icon-size</f>
        <v>#NAME?</v>
      </c>
      <c r="G647" t="s">
        <v>105</v>
      </c>
      <c r="H647" t="s">
        <v>105</v>
      </c>
      <c r="I647" t="s">
        <v>32</v>
      </c>
      <c r="J647" t="s">
        <v>78</v>
      </c>
      <c r="K647" t="s">
        <v>131</v>
      </c>
      <c r="L647" t="s">
        <v>25</v>
      </c>
      <c r="M647" t="s">
        <v>106</v>
      </c>
      <c r="N647" t="s">
        <v>1501</v>
      </c>
      <c r="O647">
        <v>1</v>
      </c>
      <c r="P647">
        <v>0</v>
      </c>
      <c r="Q647">
        <v>0</v>
      </c>
      <c r="R647" s="1">
        <v>46195.676238425927</v>
      </c>
      <c r="S647" s="1">
        <v>46205.872361111113</v>
      </c>
    </row>
    <row r="648" spans="1:19" x14ac:dyDescent="0.25">
      <c r="A648">
        <v>2010109019</v>
      </c>
      <c r="B648" t="s">
        <v>28</v>
      </c>
      <c r="C648" t="s">
        <v>29</v>
      </c>
      <c r="D648" t="s">
        <v>1539</v>
      </c>
      <c r="E648" t="s">
        <v>1540</v>
      </c>
      <c r="F648" t="e">
        <f>--ds-btn-disabled-primary-line-height</f>
        <v>#NAME?</v>
      </c>
      <c r="G648">
        <v>1.2</v>
      </c>
      <c r="H648">
        <v>1.2</v>
      </c>
      <c r="I648" t="s">
        <v>32</v>
      </c>
      <c r="J648" t="s">
        <v>78</v>
      </c>
      <c r="K648" t="s">
        <v>131</v>
      </c>
      <c r="L648" t="s">
        <v>25</v>
      </c>
      <c r="M648" t="s">
        <v>109</v>
      </c>
      <c r="N648" t="s">
        <v>1501</v>
      </c>
      <c r="O648">
        <v>1</v>
      </c>
      <c r="P648">
        <v>0</v>
      </c>
      <c r="Q648">
        <v>0</v>
      </c>
      <c r="R648" s="1">
        <v>46195.676238425927</v>
      </c>
      <c r="S648" s="1">
        <v>46205.872361111113</v>
      </c>
    </row>
    <row r="649" spans="1:19" x14ac:dyDescent="0.25">
      <c r="A649">
        <v>2010109100</v>
      </c>
      <c r="B649" t="s">
        <v>28</v>
      </c>
      <c r="C649" t="s">
        <v>29</v>
      </c>
      <c r="D649" t="s">
        <v>1541</v>
      </c>
      <c r="E649" t="s">
        <v>1542</v>
      </c>
      <c r="F649" t="e">
        <f>--ds-btn-disabled-secondary-bg</f>
        <v>#NAME?</v>
      </c>
      <c r="G649" t="s">
        <v>432</v>
      </c>
      <c r="H649" t="s">
        <v>432</v>
      </c>
      <c r="I649" t="s">
        <v>32</v>
      </c>
      <c r="J649" t="s">
        <v>24</v>
      </c>
      <c r="K649" t="s">
        <v>131</v>
      </c>
      <c r="L649" t="s">
        <v>113</v>
      </c>
      <c r="M649" t="s">
        <v>26</v>
      </c>
      <c r="N649" t="s">
        <v>1543</v>
      </c>
      <c r="O649">
        <v>1</v>
      </c>
      <c r="P649">
        <v>1</v>
      </c>
      <c r="Q649">
        <v>0</v>
      </c>
      <c r="R649" s="1">
        <v>46195.67664351852</v>
      </c>
      <c r="S649" s="1">
        <v>46205.872361111113</v>
      </c>
    </row>
    <row r="650" spans="1:19" x14ac:dyDescent="0.25">
      <c r="A650">
        <v>2010109101</v>
      </c>
      <c r="B650" t="s">
        <v>28</v>
      </c>
      <c r="C650" t="s">
        <v>29</v>
      </c>
      <c r="D650" t="s">
        <v>1544</v>
      </c>
      <c r="E650" t="s">
        <v>1545</v>
      </c>
      <c r="F650" t="e">
        <f>--ds-btn-disabled-secondary-text</f>
        <v>#NAME?</v>
      </c>
      <c r="G650" t="s">
        <v>60</v>
      </c>
      <c r="H650" t="s">
        <v>60</v>
      </c>
      <c r="I650" t="s">
        <v>32</v>
      </c>
      <c r="J650" t="s">
        <v>24</v>
      </c>
      <c r="K650" t="s">
        <v>131</v>
      </c>
      <c r="L650" t="s">
        <v>113</v>
      </c>
      <c r="M650" t="s">
        <v>38</v>
      </c>
      <c r="N650" t="s">
        <v>1543</v>
      </c>
      <c r="O650">
        <v>1</v>
      </c>
      <c r="P650">
        <v>1</v>
      </c>
      <c r="Q650">
        <v>0</v>
      </c>
      <c r="R650" s="1">
        <v>46195.67664351852</v>
      </c>
      <c r="S650" s="1">
        <v>46205.872361111113</v>
      </c>
    </row>
    <row r="651" spans="1:19" x14ac:dyDescent="0.25">
      <c r="A651">
        <v>2010109102</v>
      </c>
      <c r="B651" t="s">
        <v>28</v>
      </c>
      <c r="C651" t="s">
        <v>29</v>
      </c>
      <c r="D651" t="s">
        <v>1546</v>
      </c>
      <c r="E651" t="s">
        <v>1547</v>
      </c>
      <c r="F651" t="e">
        <f>--ds-btn-disabled-secondary-border</f>
        <v>#NAME?</v>
      </c>
      <c r="G651" t="s">
        <v>447</v>
      </c>
      <c r="H651" t="s">
        <v>447</v>
      </c>
      <c r="I651" t="s">
        <v>32</v>
      </c>
      <c r="J651" t="s">
        <v>24</v>
      </c>
      <c r="K651" t="s">
        <v>131</v>
      </c>
      <c r="L651" t="s">
        <v>113</v>
      </c>
      <c r="M651" t="s">
        <v>42</v>
      </c>
      <c r="N651" t="s">
        <v>1543</v>
      </c>
      <c r="O651">
        <v>1</v>
      </c>
      <c r="P651">
        <v>1</v>
      </c>
      <c r="Q651">
        <v>0</v>
      </c>
      <c r="R651" s="1">
        <v>46195.67664351852</v>
      </c>
      <c r="S651" s="1">
        <v>46205.872361111113</v>
      </c>
    </row>
    <row r="652" spans="1:19" x14ac:dyDescent="0.25">
      <c r="A652">
        <v>2010109103</v>
      </c>
      <c r="B652" t="s">
        <v>28</v>
      </c>
      <c r="C652" t="s">
        <v>29</v>
      </c>
      <c r="D652" t="s">
        <v>1548</v>
      </c>
      <c r="E652" t="s">
        <v>1549</v>
      </c>
      <c r="F652" t="e">
        <f>--ds-btn-disabled-secondary-hover-bg</f>
        <v>#NAME?</v>
      </c>
      <c r="G652" t="s">
        <v>432</v>
      </c>
      <c r="H652" t="s">
        <v>432</v>
      </c>
      <c r="I652" t="s">
        <v>32</v>
      </c>
      <c r="J652" t="s">
        <v>24</v>
      </c>
      <c r="K652" t="s">
        <v>131</v>
      </c>
      <c r="L652" t="s">
        <v>113</v>
      </c>
      <c r="M652" t="s">
        <v>46</v>
      </c>
      <c r="N652" t="s">
        <v>1543</v>
      </c>
      <c r="O652">
        <v>1</v>
      </c>
      <c r="P652">
        <v>1</v>
      </c>
      <c r="Q652">
        <v>0</v>
      </c>
      <c r="R652" s="1">
        <v>46195.67664351852</v>
      </c>
      <c r="S652" s="1">
        <v>46205.872361111113</v>
      </c>
    </row>
    <row r="653" spans="1:19" x14ac:dyDescent="0.25">
      <c r="A653">
        <v>2010109104</v>
      </c>
      <c r="B653" t="s">
        <v>28</v>
      </c>
      <c r="C653" t="s">
        <v>29</v>
      </c>
      <c r="D653" t="s">
        <v>1550</v>
      </c>
      <c r="E653" t="s">
        <v>1551</v>
      </c>
      <c r="F653" t="e">
        <f>--ds-btn-disabled-secondary-hover-text</f>
        <v>#NAME?</v>
      </c>
      <c r="G653" t="s">
        <v>60</v>
      </c>
      <c r="H653" t="s">
        <v>60</v>
      </c>
      <c r="I653" t="s">
        <v>32</v>
      </c>
      <c r="J653" t="s">
        <v>24</v>
      </c>
      <c r="K653" t="s">
        <v>131</v>
      </c>
      <c r="L653" t="s">
        <v>113</v>
      </c>
      <c r="M653" t="s">
        <v>49</v>
      </c>
      <c r="N653" t="s">
        <v>1543</v>
      </c>
      <c r="O653">
        <v>1</v>
      </c>
      <c r="P653">
        <v>1</v>
      </c>
      <c r="Q653">
        <v>0</v>
      </c>
      <c r="R653" s="1">
        <v>46195.67664351852</v>
      </c>
      <c r="S653" s="1">
        <v>46205.872361111113</v>
      </c>
    </row>
    <row r="654" spans="1:19" x14ac:dyDescent="0.25">
      <c r="A654">
        <v>2010109105</v>
      </c>
      <c r="B654" t="s">
        <v>28</v>
      </c>
      <c r="C654" t="s">
        <v>29</v>
      </c>
      <c r="D654" t="s">
        <v>1552</v>
      </c>
      <c r="E654" t="s">
        <v>1553</v>
      </c>
      <c r="F654" t="e">
        <f>--ds-btn-disabled-secondary-hover-border</f>
        <v>#NAME?</v>
      </c>
      <c r="G654" t="s">
        <v>447</v>
      </c>
      <c r="H654" t="s">
        <v>447</v>
      </c>
      <c r="I654" t="s">
        <v>32</v>
      </c>
      <c r="J654" t="s">
        <v>24</v>
      </c>
      <c r="K654" t="s">
        <v>131</v>
      </c>
      <c r="L654" t="s">
        <v>113</v>
      </c>
      <c r="M654" t="s">
        <v>53</v>
      </c>
      <c r="N654" t="s">
        <v>1543</v>
      </c>
      <c r="O654">
        <v>1</v>
      </c>
      <c r="P654">
        <v>1</v>
      </c>
      <c r="Q654">
        <v>0</v>
      </c>
      <c r="R654" s="1">
        <v>46195.67664351852</v>
      </c>
      <c r="S654" s="1">
        <v>46205.872361111113</v>
      </c>
    </row>
    <row r="655" spans="1:19" x14ac:dyDescent="0.25">
      <c r="A655">
        <v>2010109106</v>
      </c>
      <c r="B655" t="s">
        <v>28</v>
      </c>
      <c r="C655" t="s">
        <v>29</v>
      </c>
      <c r="D655" t="s">
        <v>1554</v>
      </c>
      <c r="E655" t="s">
        <v>1555</v>
      </c>
      <c r="F655" t="e">
        <f>--ds-btn-disabled-secondary-disabled-bg</f>
        <v>#NAME?</v>
      </c>
      <c r="G655" t="s">
        <v>432</v>
      </c>
      <c r="H655" t="s">
        <v>432</v>
      </c>
      <c r="I655" t="s">
        <v>32</v>
      </c>
      <c r="J655" t="s">
        <v>24</v>
      </c>
      <c r="K655" t="s">
        <v>131</v>
      </c>
      <c r="L655" t="s">
        <v>113</v>
      </c>
      <c r="M655" t="s">
        <v>57</v>
      </c>
      <c r="N655" t="s">
        <v>1543</v>
      </c>
      <c r="O655">
        <v>1</v>
      </c>
      <c r="P655">
        <v>1</v>
      </c>
      <c r="Q655">
        <v>0</v>
      </c>
      <c r="R655" s="1">
        <v>46195.67664351852</v>
      </c>
      <c r="S655" s="1">
        <v>46205.872361111113</v>
      </c>
    </row>
    <row r="656" spans="1:19" x14ac:dyDescent="0.25">
      <c r="A656">
        <v>2010109107</v>
      </c>
      <c r="B656" t="s">
        <v>28</v>
      </c>
      <c r="C656" t="s">
        <v>29</v>
      </c>
      <c r="D656" t="s">
        <v>1556</v>
      </c>
      <c r="E656" t="s">
        <v>1557</v>
      </c>
      <c r="F656" t="e">
        <f>--ds-btn-disabled-secondary-disabled-text</f>
        <v>#NAME?</v>
      </c>
      <c r="G656" t="s">
        <v>60</v>
      </c>
      <c r="H656" t="s">
        <v>60</v>
      </c>
      <c r="I656" t="s">
        <v>32</v>
      </c>
      <c r="J656" t="s">
        <v>24</v>
      </c>
      <c r="K656" t="s">
        <v>131</v>
      </c>
      <c r="L656" t="s">
        <v>113</v>
      </c>
      <c r="M656" t="s">
        <v>61</v>
      </c>
      <c r="N656" t="s">
        <v>1543</v>
      </c>
      <c r="O656">
        <v>1</v>
      </c>
      <c r="P656">
        <v>1</v>
      </c>
      <c r="Q656">
        <v>0</v>
      </c>
      <c r="R656" s="1">
        <v>46195.67664351852</v>
      </c>
      <c r="S656" s="1">
        <v>46205.872361111113</v>
      </c>
    </row>
    <row r="657" spans="1:19" x14ac:dyDescent="0.25">
      <c r="A657">
        <v>2010109108</v>
      </c>
      <c r="B657" t="s">
        <v>28</v>
      </c>
      <c r="C657" t="s">
        <v>29</v>
      </c>
      <c r="D657" t="s">
        <v>1558</v>
      </c>
      <c r="E657" t="s">
        <v>1559</v>
      </c>
      <c r="F657" t="e">
        <f>--ds-btn-disabled-secondary-disabled-border</f>
        <v>#NAME?</v>
      </c>
      <c r="G657" t="s">
        <v>447</v>
      </c>
      <c r="H657" t="s">
        <v>447</v>
      </c>
      <c r="I657" t="s">
        <v>32</v>
      </c>
      <c r="J657" t="s">
        <v>24</v>
      </c>
      <c r="K657" t="s">
        <v>131</v>
      </c>
      <c r="L657" t="s">
        <v>113</v>
      </c>
      <c r="M657" t="s">
        <v>65</v>
      </c>
      <c r="N657" t="s">
        <v>1543</v>
      </c>
      <c r="O657">
        <v>1</v>
      </c>
      <c r="P657">
        <v>1</v>
      </c>
      <c r="Q657">
        <v>0</v>
      </c>
      <c r="R657" s="1">
        <v>46195.67664351852</v>
      </c>
      <c r="S657" s="1">
        <v>46205.872361111113</v>
      </c>
    </row>
    <row r="658" spans="1:19" x14ac:dyDescent="0.25">
      <c r="A658">
        <v>2010109109</v>
      </c>
      <c r="B658" t="s">
        <v>28</v>
      </c>
      <c r="C658" t="s">
        <v>29</v>
      </c>
      <c r="D658" t="s">
        <v>1560</v>
      </c>
      <c r="E658" t="s">
        <v>1561</v>
      </c>
      <c r="F658" t="e">
        <f>--ds-btn-disabled-secondary-shadow</f>
        <v>#NAME?</v>
      </c>
      <c r="G658" t="s">
        <v>68</v>
      </c>
      <c r="H658" t="s">
        <v>68</v>
      </c>
      <c r="I658" t="s">
        <v>32</v>
      </c>
      <c r="J658" t="s">
        <v>69</v>
      </c>
      <c r="K658" t="s">
        <v>131</v>
      </c>
      <c r="L658" t="s">
        <v>113</v>
      </c>
      <c r="M658" t="s">
        <v>70</v>
      </c>
      <c r="N658" t="s">
        <v>1543</v>
      </c>
      <c r="O658">
        <v>1</v>
      </c>
      <c r="P658">
        <v>0</v>
      </c>
      <c r="Q658">
        <v>0</v>
      </c>
      <c r="R658" s="1">
        <v>46195.67664351852</v>
      </c>
      <c r="S658" s="1">
        <v>46205.872361111113</v>
      </c>
    </row>
    <row r="659" spans="1:19" x14ac:dyDescent="0.25">
      <c r="A659">
        <v>2010109110</v>
      </c>
      <c r="B659" t="s">
        <v>28</v>
      </c>
      <c r="C659" t="s">
        <v>29</v>
      </c>
      <c r="D659" t="s">
        <v>1562</v>
      </c>
      <c r="E659" t="s">
        <v>1563</v>
      </c>
      <c r="F659" t="e">
        <f>--ds-btn-disabled-secondary-radius</f>
        <v>#NAME?</v>
      </c>
      <c r="G659" t="s">
        <v>73</v>
      </c>
      <c r="H659" t="s">
        <v>73</v>
      </c>
      <c r="I659" t="s">
        <v>32</v>
      </c>
      <c r="J659" t="s">
        <v>69</v>
      </c>
      <c r="K659" t="s">
        <v>131</v>
      </c>
      <c r="L659" t="s">
        <v>113</v>
      </c>
      <c r="M659" t="s">
        <v>74</v>
      </c>
      <c r="N659" t="s">
        <v>1543</v>
      </c>
      <c r="O659">
        <v>1</v>
      </c>
      <c r="P659">
        <v>0</v>
      </c>
      <c r="Q659">
        <v>0</v>
      </c>
      <c r="R659" s="1">
        <v>46195.67664351852</v>
      </c>
      <c r="S659" s="1">
        <v>46205.872361111113</v>
      </c>
    </row>
    <row r="660" spans="1:19" x14ac:dyDescent="0.25">
      <c r="A660">
        <v>2010109111</v>
      </c>
      <c r="B660" t="s">
        <v>28</v>
      </c>
      <c r="C660" t="s">
        <v>29</v>
      </c>
      <c r="D660" t="s">
        <v>1564</v>
      </c>
      <c r="E660" t="s">
        <v>1565</v>
      </c>
      <c r="F660" t="e">
        <f>--ds-btn-disabled-secondary-padding-x</f>
        <v>#NAME?</v>
      </c>
      <c r="G660" t="s">
        <v>77</v>
      </c>
      <c r="H660" t="s">
        <v>77</v>
      </c>
      <c r="I660" t="s">
        <v>32</v>
      </c>
      <c r="J660" t="s">
        <v>78</v>
      </c>
      <c r="K660" t="s">
        <v>131</v>
      </c>
      <c r="L660" t="s">
        <v>113</v>
      </c>
      <c r="M660" t="s">
        <v>79</v>
      </c>
      <c r="N660" t="s">
        <v>1543</v>
      </c>
      <c r="O660">
        <v>1</v>
      </c>
      <c r="P660">
        <v>0</v>
      </c>
      <c r="Q660">
        <v>0</v>
      </c>
      <c r="R660" s="1">
        <v>46195.67664351852</v>
      </c>
      <c r="S660" s="1">
        <v>46205.872361111113</v>
      </c>
    </row>
    <row r="661" spans="1:19" x14ac:dyDescent="0.25">
      <c r="A661">
        <v>2010109112</v>
      </c>
      <c r="B661" t="s">
        <v>28</v>
      </c>
      <c r="C661" t="s">
        <v>29</v>
      </c>
      <c r="D661" t="s">
        <v>1566</v>
      </c>
      <c r="E661" t="s">
        <v>1567</v>
      </c>
      <c r="F661" t="e">
        <f>--ds-btn-disabled-secondary-padding-y</f>
        <v>#NAME?</v>
      </c>
      <c r="G661" t="s">
        <v>82</v>
      </c>
      <c r="H661" t="s">
        <v>82</v>
      </c>
      <c r="I661" t="s">
        <v>32</v>
      </c>
      <c r="J661" t="s">
        <v>78</v>
      </c>
      <c r="K661" t="s">
        <v>131</v>
      </c>
      <c r="L661" t="s">
        <v>113</v>
      </c>
      <c r="M661" t="s">
        <v>83</v>
      </c>
      <c r="N661" t="s">
        <v>1543</v>
      </c>
      <c r="O661">
        <v>1</v>
      </c>
      <c r="P661">
        <v>0</v>
      </c>
      <c r="Q661">
        <v>0</v>
      </c>
      <c r="R661" s="1">
        <v>46195.67664351852</v>
      </c>
      <c r="S661" s="1">
        <v>46205.872361111113</v>
      </c>
    </row>
    <row r="662" spans="1:19" x14ac:dyDescent="0.25">
      <c r="A662">
        <v>2010109113</v>
      </c>
      <c r="B662" t="s">
        <v>28</v>
      </c>
      <c r="C662" t="s">
        <v>29</v>
      </c>
      <c r="D662" t="s">
        <v>1568</v>
      </c>
      <c r="E662" t="s">
        <v>1569</v>
      </c>
      <c r="F662" t="e">
        <f>--ds-btn-disabled-secondary-gap</f>
        <v>#NAME?</v>
      </c>
      <c r="G662" t="s">
        <v>86</v>
      </c>
      <c r="H662" t="s">
        <v>86</v>
      </c>
      <c r="I662" t="s">
        <v>32</v>
      </c>
      <c r="J662" t="s">
        <v>78</v>
      </c>
      <c r="K662" t="s">
        <v>131</v>
      </c>
      <c r="L662" t="s">
        <v>113</v>
      </c>
      <c r="M662" t="s">
        <v>87</v>
      </c>
      <c r="N662" t="s">
        <v>1543</v>
      </c>
      <c r="O662">
        <v>1</v>
      </c>
      <c r="P662">
        <v>0</v>
      </c>
      <c r="Q662">
        <v>0</v>
      </c>
      <c r="R662" s="1">
        <v>46195.67664351852</v>
      </c>
      <c r="S662" s="1">
        <v>46205.872361111113</v>
      </c>
    </row>
    <row r="663" spans="1:19" x14ac:dyDescent="0.25">
      <c r="A663">
        <v>2010109114</v>
      </c>
      <c r="B663" t="s">
        <v>28</v>
      </c>
      <c r="C663" t="s">
        <v>29</v>
      </c>
      <c r="D663" t="s">
        <v>1570</v>
      </c>
      <c r="E663" t="s">
        <v>1571</v>
      </c>
      <c r="F663" t="e">
        <f>--ds-btn-disabled-secondary-focus-ring</f>
        <v>#NAME?</v>
      </c>
      <c r="G663" t="s">
        <v>1572</v>
      </c>
      <c r="H663" t="s">
        <v>1572</v>
      </c>
      <c r="I663" t="s">
        <v>32</v>
      </c>
      <c r="J663" t="s">
        <v>69</v>
      </c>
      <c r="K663" t="s">
        <v>131</v>
      </c>
      <c r="L663" t="s">
        <v>113</v>
      </c>
      <c r="M663" t="s">
        <v>91</v>
      </c>
      <c r="N663" t="s">
        <v>1543</v>
      </c>
      <c r="O663">
        <v>1</v>
      </c>
      <c r="P663">
        <v>0</v>
      </c>
      <c r="Q663">
        <v>0</v>
      </c>
      <c r="R663" s="1">
        <v>46195.67664351852</v>
      </c>
      <c r="S663" s="1">
        <v>46205.872361111113</v>
      </c>
    </row>
    <row r="664" spans="1:19" x14ac:dyDescent="0.25">
      <c r="A664">
        <v>2010109115</v>
      </c>
      <c r="B664" t="s">
        <v>28</v>
      </c>
      <c r="C664" t="s">
        <v>29</v>
      </c>
      <c r="D664" t="s">
        <v>1573</v>
      </c>
      <c r="E664" t="s">
        <v>1574</v>
      </c>
      <c r="F664" t="e">
        <f>--ds-btn-disabled-secondary-outline</f>
        <v>#NAME?</v>
      </c>
      <c r="G664" t="s">
        <v>94</v>
      </c>
      <c r="H664" t="s">
        <v>94</v>
      </c>
      <c r="I664" t="s">
        <v>32</v>
      </c>
      <c r="J664" t="s">
        <v>69</v>
      </c>
      <c r="K664" t="s">
        <v>131</v>
      </c>
      <c r="L664" t="s">
        <v>113</v>
      </c>
      <c r="M664" t="s">
        <v>95</v>
      </c>
      <c r="N664" t="s">
        <v>1543</v>
      </c>
      <c r="O664">
        <v>1</v>
      </c>
      <c r="P664">
        <v>0</v>
      </c>
      <c r="Q664">
        <v>0</v>
      </c>
      <c r="R664" s="1">
        <v>46195.67664351852</v>
      </c>
      <c r="S664" s="1">
        <v>46205.872361111113</v>
      </c>
    </row>
    <row r="665" spans="1:19" x14ac:dyDescent="0.25">
      <c r="A665">
        <v>2010109116</v>
      </c>
      <c r="B665" t="s">
        <v>28</v>
      </c>
      <c r="C665" t="s">
        <v>29</v>
      </c>
      <c r="D665" t="s">
        <v>1575</v>
      </c>
      <c r="E665" t="s">
        <v>1576</v>
      </c>
      <c r="F665" t="e">
        <f>--ds-btn-disabled-secondary-transition</f>
        <v>#NAME?</v>
      </c>
      <c r="G665" t="s">
        <v>98</v>
      </c>
      <c r="H665" t="s">
        <v>98</v>
      </c>
      <c r="I665" t="s">
        <v>32</v>
      </c>
      <c r="J665" t="s">
        <v>69</v>
      </c>
      <c r="K665" t="s">
        <v>131</v>
      </c>
      <c r="L665" t="s">
        <v>113</v>
      </c>
      <c r="M665" t="s">
        <v>99</v>
      </c>
      <c r="N665" t="s">
        <v>1543</v>
      </c>
      <c r="O665">
        <v>1</v>
      </c>
      <c r="P665">
        <v>0</v>
      </c>
      <c r="Q665">
        <v>0</v>
      </c>
      <c r="R665" s="1">
        <v>46195.67664351852</v>
      </c>
      <c r="S665" s="1">
        <v>46205.872361111113</v>
      </c>
    </row>
    <row r="666" spans="1:19" x14ac:dyDescent="0.25">
      <c r="A666">
        <v>2010109117</v>
      </c>
      <c r="B666" t="s">
        <v>28</v>
      </c>
      <c r="C666" t="s">
        <v>29</v>
      </c>
      <c r="D666" t="s">
        <v>1577</v>
      </c>
      <c r="E666" t="s">
        <v>1578</v>
      </c>
      <c r="F666" t="e">
        <f>--ds-btn-disabled-secondary-icon-color</f>
        <v>#NAME?</v>
      </c>
      <c r="G666" t="s">
        <v>60</v>
      </c>
      <c r="H666" t="s">
        <v>60</v>
      </c>
      <c r="I666" t="s">
        <v>32</v>
      </c>
      <c r="J666" t="s">
        <v>24</v>
      </c>
      <c r="K666" t="s">
        <v>131</v>
      </c>
      <c r="L666" t="s">
        <v>113</v>
      </c>
      <c r="M666" t="s">
        <v>102</v>
      </c>
      <c r="N666" t="s">
        <v>1543</v>
      </c>
      <c r="O666">
        <v>1</v>
      </c>
      <c r="P666">
        <v>0</v>
      </c>
      <c r="Q666">
        <v>0</v>
      </c>
      <c r="R666" s="1">
        <v>46195.67664351852</v>
      </c>
      <c r="S666" s="1">
        <v>46205.872361111113</v>
      </c>
    </row>
    <row r="667" spans="1:19" x14ac:dyDescent="0.25">
      <c r="A667">
        <v>2010109118</v>
      </c>
      <c r="B667" t="s">
        <v>28</v>
      </c>
      <c r="C667" t="s">
        <v>29</v>
      </c>
      <c r="D667" t="s">
        <v>1579</v>
      </c>
      <c r="E667" t="s">
        <v>1580</v>
      </c>
      <c r="F667" t="e">
        <f>--ds-btn-disabled-secondary-icon-size</f>
        <v>#NAME?</v>
      </c>
      <c r="G667" t="s">
        <v>105</v>
      </c>
      <c r="H667" t="s">
        <v>105</v>
      </c>
      <c r="I667" t="s">
        <v>32</v>
      </c>
      <c r="J667" t="s">
        <v>78</v>
      </c>
      <c r="K667" t="s">
        <v>131</v>
      </c>
      <c r="L667" t="s">
        <v>113</v>
      </c>
      <c r="M667" t="s">
        <v>106</v>
      </c>
      <c r="N667" t="s">
        <v>1543</v>
      </c>
      <c r="O667">
        <v>1</v>
      </c>
      <c r="P667">
        <v>0</v>
      </c>
      <c r="Q667">
        <v>0</v>
      </c>
      <c r="R667" s="1">
        <v>46195.67664351852</v>
      </c>
      <c r="S667" s="1">
        <v>46205.872361111113</v>
      </c>
    </row>
    <row r="668" spans="1:19" x14ac:dyDescent="0.25">
      <c r="A668">
        <v>2010109119</v>
      </c>
      <c r="B668" t="s">
        <v>28</v>
      </c>
      <c r="C668" t="s">
        <v>29</v>
      </c>
      <c r="D668" t="s">
        <v>1581</v>
      </c>
      <c r="E668" t="s">
        <v>1582</v>
      </c>
      <c r="F668" t="e">
        <f>--ds-btn-disabled-secondary-line-height</f>
        <v>#NAME?</v>
      </c>
      <c r="G668">
        <v>1.2</v>
      </c>
      <c r="H668">
        <v>1.2</v>
      </c>
      <c r="I668" t="s">
        <v>32</v>
      </c>
      <c r="J668" t="s">
        <v>78</v>
      </c>
      <c r="K668" t="s">
        <v>131</v>
      </c>
      <c r="L668" t="s">
        <v>113</v>
      </c>
      <c r="M668" t="s">
        <v>109</v>
      </c>
      <c r="N668" t="s">
        <v>1543</v>
      </c>
      <c r="O668">
        <v>1</v>
      </c>
      <c r="P668">
        <v>0</v>
      </c>
      <c r="Q668">
        <v>0</v>
      </c>
      <c r="R668" s="1">
        <v>46195.67664351852</v>
      </c>
      <c r="S668" s="1">
        <v>46205.872361111113</v>
      </c>
    </row>
    <row r="669" spans="1:19" x14ac:dyDescent="0.25">
      <c r="A669">
        <v>2010109200</v>
      </c>
      <c r="B669" t="s">
        <v>28</v>
      </c>
      <c r="C669" t="s">
        <v>29</v>
      </c>
      <c r="D669" t="s">
        <v>1583</v>
      </c>
      <c r="E669" t="s">
        <v>1584</v>
      </c>
      <c r="F669" t="e">
        <f>--ds-btn-disabled-success-bg</f>
        <v>#NAME?</v>
      </c>
      <c r="G669" t="s">
        <v>461</v>
      </c>
      <c r="H669" t="s">
        <v>461</v>
      </c>
      <c r="I669" t="s">
        <v>32</v>
      </c>
      <c r="J669" t="s">
        <v>24</v>
      </c>
      <c r="K669" t="s">
        <v>131</v>
      </c>
      <c r="L669" t="s">
        <v>139</v>
      </c>
      <c r="M669" t="s">
        <v>26</v>
      </c>
      <c r="N669" t="s">
        <v>1585</v>
      </c>
      <c r="O669">
        <v>1</v>
      </c>
      <c r="P669">
        <v>1</v>
      </c>
      <c r="Q669">
        <v>0</v>
      </c>
      <c r="R669" s="1">
        <v>46195.676990740743</v>
      </c>
      <c r="S669" s="1">
        <v>46205.872361111113</v>
      </c>
    </row>
    <row r="670" spans="1:19" x14ac:dyDescent="0.25">
      <c r="A670">
        <v>2010109201</v>
      </c>
      <c r="B670" t="s">
        <v>28</v>
      </c>
      <c r="C670" t="s">
        <v>29</v>
      </c>
      <c r="D670" t="s">
        <v>1586</v>
      </c>
      <c r="E670" t="s">
        <v>1587</v>
      </c>
      <c r="F670" t="e">
        <f>--ds-btn-disabled-success-text</f>
        <v>#NAME?</v>
      </c>
      <c r="G670" t="s">
        <v>60</v>
      </c>
      <c r="H670" t="s">
        <v>60</v>
      </c>
      <c r="I670" t="s">
        <v>32</v>
      </c>
      <c r="J670" t="s">
        <v>24</v>
      </c>
      <c r="K670" t="s">
        <v>131</v>
      </c>
      <c r="L670" t="s">
        <v>139</v>
      </c>
      <c r="M670" t="s">
        <v>38</v>
      </c>
      <c r="N670" t="s">
        <v>1585</v>
      </c>
      <c r="O670">
        <v>1</v>
      </c>
      <c r="P670">
        <v>1</v>
      </c>
      <c r="Q670">
        <v>0</v>
      </c>
      <c r="R670" s="1">
        <v>46195.676990740743</v>
      </c>
      <c r="S670" s="1">
        <v>46205.872361111113</v>
      </c>
    </row>
    <row r="671" spans="1:19" x14ac:dyDescent="0.25">
      <c r="A671">
        <v>2010109202</v>
      </c>
      <c r="B671" t="s">
        <v>28</v>
      </c>
      <c r="C671" t="s">
        <v>29</v>
      </c>
      <c r="D671" t="s">
        <v>1588</v>
      </c>
      <c r="E671" t="s">
        <v>1589</v>
      </c>
      <c r="F671" t="e">
        <f>--ds-btn-disabled-success-border</f>
        <v>#NAME?</v>
      </c>
      <c r="G671" t="s">
        <v>1260</v>
      </c>
      <c r="H671" t="s">
        <v>1260</v>
      </c>
      <c r="I671" t="s">
        <v>32</v>
      </c>
      <c r="J671" t="s">
        <v>24</v>
      </c>
      <c r="K671" t="s">
        <v>131</v>
      </c>
      <c r="L671" t="s">
        <v>139</v>
      </c>
      <c r="M671" t="s">
        <v>42</v>
      </c>
      <c r="N671" t="s">
        <v>1585</v>
      </c>
      <c r="O671">
        <v>1</v>
      </c>
      <c r="P671">
        <v>1</v>
      </c>
      <c r="Q671">
        <v>0</v>
      </c>
      <c r="R671" s="1">
        <v>46195.676990740743</v>
      </c>
      <c r="S671" s="1">
        <v>46205.872361111113</v>
      </c>
    </row>
    <row r="672" spans="1:19" x14ac:dyDescent="0.25">
      <c r="A672">
        <v>2010109203</v>
      </c>
      <c r="B672" t="s">
        <v>28</v>
      </c>
      <c r="C672" t="s">
        <v>29</v>
      </c>
      <c r="D672" t="s">
        <v>1590</v>
      </c>
      <c r="E672" t="s">
        <v>1591</v>
      </c>
      <c r="F672" t="e">
        <f>--ds-btn-disabled-success-hover-bg</f>
        <v>#NAME?</v>
      </c>
      <c r="G672" t="s">
        <v>461</v>
      </c>
      <c r="H672" t="s">
        <v>461</v>
      </c>
      <c r="I672" t="s">
        <v>32</v>
      </c>
      <c r="J672" t="s">
        <v>24</v>
      </c>
      <c r="K672" t="s">
        <v>131</v>
      </c>
      <c r="L672" t="s">
        <v>139</v>
      </c>
      <c r="M672" t="s">
        <v>46</v>
      </c>
      <c r="N672" t="s">
        <v>1585</v>
      </c>
      <c r="O672">
        <v>1</v>
      </c>
      <c r="P672">
        <v>1</v>
      </c>
      <c r="Q672">
        <v>0</v>
      </c>
      <c r="R672" s="1">
        <v>46195.676990740743</v>
      </c>
      <c r="S672" s="1">
        <v>46205.872361111113</v>
      </c>
    </row>
    <row r="673" spans="1:19" x14ac:dyDescent="0.25">
      <c r="A673">
        <v>2010109204</v>
      </c>
      <c r="B673" t="s">
        <v>28</v>
      </c>
      <c r="C673" t="s">
        <v>29</v>
      </c>
      <c r="D673" t="s">
        <v>1592</v>
      </c>
      <c r="E673" t="s">
        <v>1593</v>
      </c>
      <c r="F673" t="e">
        <f>--ds-btn-disabled-success-hover-text</f>
        <v>#NAME?</v>
      </c>
      <c r="G673" t="s">
        <v>60</v>
      </c>
      <c r="H673" t="s">
        <v>60</v>
      </c>
      <c r="I673" t="s">
        <v>32</v>
      </c>
      <c r="J673" t="s">
        <v>24</v>
      </c>
      <c r="K673" t="s">
        <v>131</v>
      </c>
      <c r="L673" t="s">
        <v>139</v>
      </c>
      <c r="M673" t="s">
        <v>49</v>
      </c>
      <c r="N673" t="s">
        <v>1585</v>
      </c>
      <c r="O673">
        <v>1</v>
      </c>
      <c r="P673">
        <v>1</v>
      </c>
      <c r="Q673">
        <v>0</v>
      </c>
      <c r="R673" s="1">
        <v>46195.676990740743</v>
      </c>
      <c r="S673" s="1">
        <v>46205.872361111113</v>
      </c>
    </row>
    <row r="674" spans="1:19" x14ac:dyDescent="0.25">
      <c r="A674">
        <v>2010109205</v>
      </c>
      <c r="B674" t="s">
        <v>28</v>
      </c>
      <c r="C674" t="s">
        <v>29</v>
      </c>
      <c r="D674" t="s">
        <v>1594</v>
      </c>
      <c r="E674" t="s">
        <v>1595</v>
      </c>
      <c r="F674" t="e">
        <f>--ds-btn-disabled-success-hover-border</f>
        <v>#NAME?</v>
      </c>
      <c r="G674" t="s">
        <v>1260</v>
      </c>
      <c r="H674" t="s">
        <v>1260</v>
      </c>
      <c r="I674" t="s">
        <v>32</v>
      </c>
      <c r="J674" t="s">
        <v>24</v>
      </c>
      <c r="K674" t="s">
        <v>131</v>
      </c>
      <c r="L674" t="s">
        <v>139</v>
      </c>
      <c r="M674" t="s">
        <v>53</v>
      </c>
      <c r="N674" t="s">
        <v>1585</v>
      </c>
      <c r="O674">
        <v>1</v>
      </c>
      <c r="P674">
        <v>1</v>
      </c>
      <c r="Q674">
        <v>0</v>
      </c>
      <c r="R674" s="1">
        <v>46195.676990740743</v>
      </c>
      <c r="S674" s="1">
        <v>46205.872361111113</v>
      </c>
    </row>
    <row r="675" spans="1:19" x14ac:dyDescent="0.25">
      <c r="A675">
        <v>2010109206</v>
      </c>
      <c r="B675" t="s">
        <v>28</v>
      </c>
      <c r="C675" t="s">
        <v>29</v>
      </c>
      <c r="D675" t="s">
        <v>1596</v>
      </c>
      <c r="E675" t="s">
        <v>1597</v>
      </c>
      <c r="F675" t="e">
        <f>--ds-btn-disabled-success-disabled-bg</f>
        <v>#NAME?</v>
      </c>
      <c r="G675" t="s">
        <v>461</v>
      </c>
      <c r="H675" t="s">
        <v>461</v>
      </c>
      <c r="I675" t="s">
        <v>32</v>
      </c>
      <c r="J675" t="s">
        <v>24</v>
      </c>
      <c r="K675" t="s">
        <v>131</v>
      </c>
      <c r="L675" t="s">
        <v>139</v>
      </c>
      <c r="M675" t="s">
        <v>57</v>
      </c>
      <c r="N675" t="s">
        <v>1585</v>
      </c>
      <c r="O675">
        <v>1</v>
      </c>
      <c r="P675">
        <v>1</v>
      </c>
      <c r="Q675">
        <v>0</v>
      </c>
      <c r="R675" s="1">
        <v>46195.676990740743</v>
      </c>
      <c r="S675" s="1">
        <v>46205.872361111113</v>
      </c>
    </row>
    <row r="676" spans="1:19" x14ac:dyDescent="0.25">
      <c r="A676">
        <v>2010109207</v>
      </c>
      <c r="B676" t="s">
        <v>28</v>
      </c>
      <c r="C676" t="s">
        <v>29</v>
      </c>
      <c r="D676" t="s">
        <v>1598</v>
      </c>
      <c r="E676" t="s">
        <v>1599</v>
      </c>
      <c r="F676" t="e">
        <f>--ds-btn-disabled-success-disabled-text</f>
        <v>#NAME?</v>
      </c>
      <c r="G676" t="s">
        <v>60</v>
      </c>
      <c r="H676" t="s">
        <v>60</v>
      </c>
      <c r="I676" t="s">
        <v>32</v>
      </c>
      <c r="J676" t="s">
        <v>24</v>
      </c>
      <c r="K676" t="s">
        <v>131</v>
      </c>
      <c r="L676" t="s">
        <v>139</v>
      </c>
      <c r="M676" t="s">
        <v>61</v>
      </c>
      <c r="N676" t="s">
        <v>1585</v>
      </c>
      <c r="O676">
        <v>1</v>
      </c>
      <c r="P676">
        <v>1</v>
      </c>
      <c r="Q676">
        <v>0</v>
      </c>
      <c r="R676" s="1">
        <v>46195.676990740743</v>
      </c>
      <c r="S676" s="1">
        <v>46205.872361111113</v>
      </c>
    </row>
    <row r="677" spans="1:19" x14ac:dyDescent="0.25">
      <c r="A677">
        <v>2010109208</v>
      </c>
      <c r="B677" t="s">
        <v>28</v>
      </c>
      <c r="C677" t="s">
        <v>29</v>
      </c>
      <c r="D677" t="s">
        <v>1600</v>
      </c>
      <c r="E677" t="s">
        <v>1601</v>
      </c>
      <c r="F677" t="e">
        <f>--ds-btn-disabled-success-disabled-border</f>
        <v>#NAME?</v>
      </c>
      <c r="G677" t="s">
        <v>1260</v>
      </c>
      <c r="H677" t="s">
        <v>1260</v>
      </c>
      <c r="I677" t="s">
        <v>32</v>
      </c>
      <c r="J677" t="s">
        <v>24</v>
      </c>
      <c r="K677" t="s">
        <v>131</v>
      </c>
      <c r="L677" t="s">
        <v>139</v>
      </c>
      <c r="M677" t="s">
        <v>65</v>
      </c>
      <c r="N677" t="s">
        <v>1585</v>
      </c>
      <c r="O677">
        <v>1</v>
      </c>
      <c r="P677">
        <v>1</v>
      </c>
      <c r="Q677">
        <v>0</v>
      </c>
      <c r="R677" s="1">
        <v>46195.676990740743</v>
      </c>
      <c r="S677" s="1">
        <v>46205.872361111113</v>
      </c>
    </row>
    <row r="678" spans="1:19" x14ac:dyDescent="0.25">
      <c r="A678">
        <v>2010109209</v>
      </c>
      <c r="B678" t="s">
        <v>28</v>
      </c>
      <c r="C678" t="s">
        <v>29</v>
      </c>
      <c r="D678" t="s">
        <v>1602</v>
      </c>
      <c r="E678" t="s">
        <v>1603</v>
      </c>
      <c r="F678" t="e">
        <f>--ds-btn-disabled-success-shadow</f>
        <v>#NAME?</v>
      </c>
      <c r="G678" t="s">
        <v>68</v>
      </c>
      <c r="H678" t="s">
        <v>68</v>
      </c>
      <c r="I678" t="s">
        <v>32</v>
      </c>
      <c r="J678" t="s">
        <v>69</v>
      </c>
      <c r="K678" t="s">
        <v>131</v>
      </c>
      <c r="L678" t="s">
        <v>139</v>
      </c>
      <c r="M678" t="s">
        <v>70</v>
      </c>
      <c r="N678" t="s">
        <v>1585</v>
      </c>
      <c r="O678">
        <v>1</v>
      </c>
      <c r="P678">
        <v>0</v>
      </c>
      <c r="Q678">
        <v>0</v>
      </c>
      <c r="R678" s="1">
        <v>46195.676990740743</v>
      </c>
      <c r="S678" s="1">
        <v>46205.872361111113</v>
      </c>
    </row>
    <row r="679" spans="1:19" x14ac:dyDescent="0.25">
      <c r="A679">
        <v>2010109210</v>
      </c>
      <c r="B679" t="s">
        <v>28</v>
      </c>
      <c r="C679" t="s">
        <v>29</v>
      </c>
      <c r="D679" t="s">
        <v>1604</v>
      </c>
      <c r="E679" t="s">
        <v>1605</v>
      </c>
      <c r="F679" t="e">
        <f>--ds-btn-disabled-success-radius</f>
        <v>#NAME?</v>
      </c>
      <c r="G679" t="s">
        <v>73</v>
      </c>
      <c r="H679" t="s">
        <v>73</v>
      </c>
      <c r="I679" t="s">
        <v>32</v>
      </c>
      <c r="J679" t="s">
        <v>69</v>
      </c>
      <c r="K679" t="s">
        <v>131</v>
      </c>
      <c r="L679" t="s">
        <v>139</v>
      </c>
      <c r="M679" t="s">
        <v>74</v>
      </c>
      <c r="N679" t="s">
        <v>1585</v>
      </c>
      <c r="O679">
        <v>1</v>
      </c>
      <c r="P679">
        <v>0</v>
      </c>
      <c r="Q679">
        <v>0</v>
      </c>
      <c r="R679" s="1">
        <v>46195.676990740743</v>
      </c>
      <c r="S679" s="1">
        <v>46205.872361111113</v>
      </c>
    </row>
    <row r="680" spans="1:19" x14ac:dyDescent="0.25">
      <c r="A680">
        <v>2010109211</v>
      </c>
      <c r="B680" t="s">
        <v>28</v>
      </c>
      <c r="C680" t="s">
        <v>29</v>
      </c>
      <c r="D680" t="s">
        <v>1606</v>
      </c>
      <c r="E680" t="s">
        <v>1607</v>
      </c>
      <c r="F680" t="e">
        <f>--ds-btn-disabled-success-padding-x</f>
        <v>#NAME?</v>
      </c>
      <c r="G680" t="s">
        <v>77</v>
      </c>
      <c r="H680" t="s">
        <v>77</v>
      </c>
      <c r="I680" t="s">
        <v>32</v>
      </c>
      <c r="J680" t="s">
        <v>78</v>
      </c>
      <c r="K680" t="s">
        <v>131</v>
      </c>
      <c r="L680" t="s">
        <v>139</v>
      </c>
      <c r="M680" t="s">
        <v>79</v>
      </c>
      <c r="N680" t="s">
        <v>1585</v>
      </c>
      <c r="O680">
        <v>1</v>
      </c>
      <c r="P680">
        <v>0</v>
      </c>
      <c r="Q680">
        <v>0</v>
      </c>
      <c r="R680" s="1">
        <v>46195.676990740743</v>
      </c>
      <c r="S680" s="1">
        <v>46205.872361111113</v>
      </c>
    </row>
    <row r="681" spans="1:19" x14ac:dyDescent="0.25">
      <c r="A681">
        <v>2010109212</v>
      </c>
      <c r="B681" t="s">
        <v>28</v>
      </c>
      <c r="C681" t="s">
        <v>29</v>
      </c>
      <c r="D681" t="s">
        <v>1608</v>
      </c>
      <c r="E681" t="s">
        <v>1609</v>
      </c>
      <c r="F681" t="e">
        <f>--ds-btn-disabled-success-padding-y</f>
        <v>#NAME?</v>
      </c>
      <c r="G681" t="s">
        <v>82</v>
      </c>
      <c r="H681" t="s">
        <v>82</v>
      </c>
      <c r="I681" t="s">
        <v>32</v>
      </c>
      <c r="J681" t="s">
        <v>78</v>
      </c>
      <c r="K681" t="s">
        <v>131</v>
      </c>
      <c r="L681" t="s">
        <v>139</v>
      </c>
      <c r="M681" t="s">
        <v>83</v>
      </c>
      <c r="N681" t="s">
        <v>1585</v>
      </c>
      <c r="O681">
        <v>1</v>
      </c>
      <c r="P681">
        <v>0</v>
      </c>
      <c r="Q681">
        <v>0</v>
      </c>
      <c r="R681" s="1">
        <v>46195.676990740743</v>
      </c>
      <c r="S681" s="1">
        <v>46205.872361111113</v>
      </c>
    </row>
    <row r="682" spans="1:19" x14ac:dyDescent="0.25">
      <c r="A682">
        <v>2010109213</v>
      </c>
      <c r="B682" t="s">
        <v>28</v>
      </c>
      <c r="C682" t="s">
        <v>29</v>
      </c>
      <c r="D682" t="s">
        <v>1610</v>
      </c>
      <c r="E682" t="s">
        <v>1611</v>
      </c>
      <c r="F682" t="e">
        <f>--ds-btn-disabled-success-gap</f>
        <v>#NAME?</v>
      </c>
      <c r="G682" t="s">
        <v>86</v>
      </c>
      <c r="H682" t="s">
        <v>86</v>
      </c>
      <c r="I682" t="s">
        <v>32</v>
      </c>
      <c r="J682" t="s">
        <v>78</v>
      </c>
      <c r="K682" t="s">
        <v>131</v>
      </c>
      <c r="L682" t="s">
        <v>139</v>
      </c>
      <c r="M682" t="s">
        <v>87</v>
      </c>
      <c r="N682" t="s">
        <v>1585</v>
      </c>
      <c r="O682">
        <v>1</v>
      </c>
      <c r="P682">
        <v>0</v>
      </c>
      <c r="Q682">
        <v>0</v>
      </c>
      <c r="R682" s="1">
        <v>46195.676990740743</v>
      </c>
      <c r="S682" s="1">
        <v>46205.872361111113</v>
      </c>
    </row>
    <row r="683" spans="1:19" x14ac:dyDescent="0.25">
      <c r="A683">
        <v>2010109214</v>
      </c>
      <c r="B683" t="s">
        <v>28</v>
      </c>
      <c r="C683" t="s">
        <v>29</v>
      </c>
      <c r="D683" t="s">
        <v>1612</v>
      </c>
      <c r="E683" t="s">
        <v>1613</v>
      </c>
      <c r="F683" t="e">
        <f>--ds-btn-disabled-success-focus-ring</f>
        <v>#NAME?</v>
      </c>
      <c r="G683" t="s">
        <v>1614</v>
      </c>
      <c r="H683" t="s">
        <v>1614</v>
      </c>
      <c r="I683" t="s">
        <v>32</v>
      </c>
      <c r="J683" t="s">
        <v>69</v>
      </c>
      <c r="K683" t="s">
        <v>131</v>
      </c>
      <c r="L683" t="s">
        <v>139</v>
      </c>
      <c r="M683" t="s">
        <v>91</v>
      </c>
      <c r="N683" t="s">
        <v>1585</v>
      </c>
      <c r="O683">
        <v>1</v>
      </c>
      <c r="P683">
        <v>0</v>
      </c>
      <c r="Q683">
        <v>0</v>
      </c>
      <c r="R683" s="1">
        <v>46195.676990740743</v>
      </c>
      <c r="S683" s="1">
        <v>46205.872361111113</v>
      </c>
    </row>
    <row r="684" spans="1:19" x14ac:dyDescent="0.25">
      <c r="A684">
        <v>2010109215</v>
      </c>
      <c r="B684" t="s">
        <v>28</v>
      </c>
      <c r="C684" t="s">
        <v>29</v>
      </c>
      <c r="D684" t="s">
        <v>1615</v>
      </c>
      <c r="E684" t="s">
        <v>1616</v>
      </c>
      <c r="F684" t="e">
        <f>--ds-btn-disabled-success-outline</f>
        <v>#NAME?</v>
      </c>
      <c r="G684" t="s">
        <v>94</v>
      </c>
      <c r="H684" t="s">
        <v>94</v>
      </c>
      <c r="I684" t="s">
        <v>32</v>
      </c>
      <c r="J684" t="s">
        <v>69</v>
      </c>
      <c r="K684" t="s">
        <v>131</v>
      </c>
      <c r="L684" t="s">
        <v>139</v>
      </c>
      <c r="M684" t="s">
        <v>95</v>
      </c>
      <c r="N684" t="s">
        <v>1585</v>
      </c>
      <c r="O684">
        <v>1</v>
      </c>
      <c r="P684">
        <v>0</v>
      </c>
      <c r="Q684">
        <v>0</v>
      </c>
      <c r="R684" s="1">
        <v>46195.676990740743</v>
      </c>
      <c r="S684" s="1">
        <v>46205.872361111113</v>
      </c>
    </row>
    <row r="685" spans="1:19" x14ac:dyDescent="0.25">
      <c r="A685">
        <v>2010109216</v>
      </c>
      <c r="B685" t="s">
        <v>28</v>
      </c>
      <c r="C685" t="s">
        <v>29</v>
      </c>
      <c r="D685" t="s">
        <v>1617</v>
      </c>
      <c r="E685" t="s">
        <v>1618</v>
      </c>
      <c r="F685" t="e">
        <f>--ds-btn-disabled-success-transition</f>
        <v>#NAME?</v>
      </c>
      <c r="G685" t="s">
        <v>98</v>
      </c>
      <c r="H685" t="s">
        <v>98</v>
      </c>
      <c r="I685" t="s">
        <v>32</v>
      </c>
      <c r="J685" t="s">
        <v>69</v>
      </c>
      <c r="K685" t="s">
        <v>131</v>
      </c>
      <c r="L685" t="s">
        <v>139</v>
      </c>
      <c r="M685" t="s">
        <v>99</v>
      </c>
      <c r="N685" t="s">
        <v>1585</v>
      </c>
      <c r="O685">
        <v>1</v>
      </c>
      <c r="P685">
        <v>0</v>
      </c>
      <c r="Q685">
        <v>0</v>
      </c>
      <c r="R685" s="1">
        <v>46195.676990740743</v>
      </c>
      <c r="S685" s="1">
        <v>46205.872361111113</v>
      </c>
    </row>
    <row r="686" spans="1:19" x14ac:dyDescent="0.25">
      <c r="A686">
        <v>2010109217</v>
      </c>
      <c r="B686" t="s">
        <v>28</v>
      </c>
      <c r="C686" t="s">
        <v>29</v>
      </c>
      <c r="D686" t="s">
        <v>1619</v>
      </c>
      <c r="E686" t="s">
        <v>1620</v>
      </c>
      <c r="F686" t="e">
        <f>--ds-btn-disabled-success-icon-color</f>
        <v>#NAME?</v>
      </c>
      <c r="G686" t="s">
        <v>60</v>
      </c>
      <c r="H686" t="s">
        <v>60</v>
      </c>
      <c r="I686" t="s">
        <v>32</v>
      </c>
      <c r="J686" t="s">
        <v>24</v>
      </c>
      <c r="K686" t="s">
        <v>131</v>
      </c>
      <c r="L686" t="s">
        <v>139</v>
      </c>
      <c r="M686" t="s">
        <v>102</v>
      </c>
      <c r="N686" t="s">
        <v>1585</v>
      </c>
      <c r="O686">
        <v>1</v>
      </c>
      <c r="P686">
        <v>0</v>
      </c>
      <c r="Q686">
        <v>0</v>
      </c>
      <c r="R686" s="1">
        <v>46195.676990740743</v>
      </c>
      <c r="S686" s="1">
        <v>46205.872361111113</v>
      </c>
    </row>
    <row r="687" spans="1:19" x14ac:dyDescent="0.25">
      <c r="A687">
        <v>2010109218</v>
      </c>
      <c r="B687" t="s">
        <v>28</v>
      </c>
      <c r="C687" t="s">
        <v>29</v>
      </c>
      <c r="D687" t="s">
        <v>1621</v>
      </c>
      <c r="E687" t="s">
        <v>1622</v>
      </c>
      <c r="F687" t="e">
        <f>--ds-btn-disabled-success-icon-size</f>
        <v>#NAME?</v>
      </c>
      <c r="G687" t="s">
        <v>105</v>
      </c>
      <c r="H687" t="s">
        <v>105</v>
      </c>
      <c r="I687" t="s">
        <v>32</v>
      </c>
      <c r="J687" t="s">
        <v>78</v>
      </c>
      <c r="K687" t="s">
        <v>131</v>
      </c>
      <c r="L687" t="s">
        <v>139</v>
      </c>
      <c r="M687" t="s">
        <v>106</v>
      </c>
      <c r="N687" t="s">
        <v>1585</v>
      </c>
      <c r="O687">
        <v>1</v>
      </c>
      <c r="P687">
        <v>0</v>
      </c>
      <c r="Q687">
        <v>0</v>
      </c>
      <c r="R687" s="1">
        <v>46195.676990740743</v>
      </c>
      <c r="S687" s="1">
        <v>46205.872361111113</v>
      </c>
    </row>
    <row r="688" spans="1:19" x14ac:dyDescent="0.25">
      <c r="A688">
        <v>2010109219</v>
      </c>
      <c r="B688" t="s">
        <v>28</v>
      </c>
      <c r="C688" t="s">
        <v>29</v>
      </c>
      <c r="D688" t="s">
        <v>1623</v>
      </c>
      <c r="E688" t="s">
        <v>1624</v>
      </c>
      <c r="F688" t="e">
        <f>--ds-btn-disabled-success-line-height</f>
        <v>#NAME?</v>
      </c>
      <c r="G688">
        <v>1.2</v>
      </c>
      <c r="H688">
        <v>1.2</v>
      </c>
      <c r="I688" t="s">
        <v>32</v>
      </c>
      <c r="J688" t="s">
        <v>78</v>
      </c>
      <c r="K688" t="s">
        <v>131</v>
      </c>
      <c r="L688" t="s">
        <v>139</v>
      </c>
      <c r="M688" t="s">
        <v>109</v>
      </c>
      <c r="N688" t="s">
        <v>1585</v>
      </c>
      <c r="O688">
        <v>1</v>
      </c>
      <c r="P688">
        <v>0</v>
      </c>
      <c r="Q688">
        <v>0</v>
      </c>
      <c r="R688" s="1">
        <v>46195.676990740743</v>
      </c>
      <c r="S688" s="1">
        <v>46205.872361111113</v>
      </c>
    </row>
    <row r="689" spans="1:19" x14ac:dyDescent="0.25">
      <c r="A689">
        <v>2010109300</v>
      </c>
      <c r="B689" t="s">
        <v>28</v>
      </c>
      <c r="C689" t="s">
        <v>29</v>
      </c>
      <c r="D689" t="s">
        <v>1625</v>
      </c>
      <c r="E689" t="s">
        <v>1626</v>
      </c>
      <c r="F689" t="e">
        <f>--ds-btn-disabled-danger-bg</f>
        <v>#NAME?</v>
      </c>
      <c r="G689" t="s">
        <v>484</v>
      </c>
      <c r="H689" t="s">
        <v>484</v>
      </c>
      <c r="I689" t="s">
        <v>32</v>
      </c>
      <c r="J689" t="s">
        <v>24</v>
      </c>
      <c r="K689" t="s">
        <v>131</v>
      </c>
      <c r="L689" t="s">
        <v>161</v>
      </c>
      <c r="M689" t="s">
        <v>26</v>
      </c>
      <c r="N689" t="s">
        <v>1627</v>
      </c>
      <c r="O689">
        <v>1</v>
      </c>
      <c r="P689">
        <v>1</v>
      </c>
      <c r="Q689">
        <v>0</v>
      </c>
      <c r="R689" s="1">
        <v>46195.677384259259</v>
      </c>
      <c r="S689" s="1">
        <v>46205.872361111113</v>
      </c>
    </row>
    <row r="690" spans="1:19" x14ac:dyDescent="0.25">
      <c r="A690">
        <v>2010109301</v>
      </c>
      <c r="B690" t="s">
        <v>28</v>
      </c>
      <c r="C690" t="s">
        <v>29</v>
      </c>
      <c r="D690" t="s">
        <v>1628</v>
      </c>
      <c r="E690" t="s">
        <v>1629</v>
      </c>
      <c r="F690" t="e">
        <f>--ds-btn-disabled-danger-text</f>
        <v>#NAME?</v>
      </c>
      <c r="G690" t="s">
        <v>60</v>
      </c>
      <c r="H690" t="s">
        <v>60</v>
      </c>
      <c r="I690" t="s">
        <v>32</v>
      </c>
      <c r="J690" t="s">
        <v>24</v>
      </c>
      <c r="K690" t="s">
        <v>131</v>
      </c>
      <c r="L690" t="s">
        <v>161</v>
      </c>
      <c r="M690" t="s">
        <v>38</v>
      </c>
      <c r="N690" t="s">
        <v>1627</v>
      </c>
      <c r="O690">
        <v>1</v>
      </c>
      <c r="P690">
        <v>1</v>
      </c>
      <c r="Q690">
        <v>0</v>
      </c>
      <c r="R690" s="1">
        <v>46195.677384259259</v>
      </c>
      <c r="S690" s="1">
        <v>46205.872361111113</v>
      </c>
    </row>
    <row r="691" spans="1:19" x14ac:dyDescent="0.25">
      <c r="A691">
        <v>2010109302</v>
      </c>
      <c r="B691" t="s">
        <v>28</v>
      </c>
      <c r="C691" t="s">
        <v>29</v>
      </c>
      <c r="D691" t="s">
        <v>1630</v>
      </c>
      <c r="E691" t="s">
        <v>1631</v>
      </c>
      <c r="F691" t="e">
        <f>--ds-btn-disabled-danger-border</f>
        <v>#NAME?</v>
      </c>
      <c r="G691" t="s">
        <v>1303</v>
      </c>
      <c r="H691" t="s">
        <v>1303</v>
      </c>
      <c r="I691" t="s">
        <v>32</v>
      </c>
      <c r="J691" t="s">
        <v>24</v>
      </c>
      <c r="K691" t="s">
        <v>131</v>
      </c>
      <c r="L691" t="s">
        <v>161</v>
      </c>
      <c r="M691" t="s">
        <v>42</v>
      </c>
      <c r="N691" t="s">
        <v>1627</v>
      </c>
      <c r="O691">
        <v>1</v>
      </c>
      <c r="P691">
        <v>1</v>
      </c>
      <c r="Q691">
        <v>0</v>
      </c>
      <c r="R691" s="1">
        <v>46195.677384259259</v>
      </c>
      <c r="S691" s="1">
        <v>46205.872361111113</v>
      </c>
    </row>
    <row r="692" spans="1:19" x14ac:dyDescent="0.25">
      <c r="A692">
        <v>2010109303</v>
      </c>
      <c r="B692" t="s">
        <v>28</v>
      </c>
      <c r="C692" t="s">
        <v>29</v>
      </c>
      <c r="D692" t="s">
        <v>1632</v>
      </c>
      <c r="E692" t="s">
        <v>1633</v>
      </c>
      <c r="F692" t="e">
        <f>--ds-btn-disabled-danger-hover-bg</f>
        <v>#NAME?</v>
      </c>
      <c r="G692" t="s">
        <v>484</v>
      </c>
      <c r="H692" t="s">
        <v>484</v>
      </c>
      <c r="I692" t="s">
        <v>32</v>
      </c>
      <c r="J692" t="s">
        <v>24</v>
      </c>
      <c r="K692" t="s">
        <v>131</v>
      </c>
      <c r="L692" t="s">
        <v>161</v>
      </c>
      <c r="M692" t="s">
        <v>46</v>
      </c>
      <c r="N692" t="s">
        <v>1627</v>
      </c>
      <c r="O692">
        <v>1</v>
      </c>
      <c r="P692">
        <v>1</v>
      </c>
      <c r="Q692">
        <v>0</v>
      </c>
      <c r="R692" s="1">
        <v>46195.677384259259</v>
      </c>
      <c r="S692" s="1">
        <v>46205.872361111113</v>
      </c>
    </row>
    <row r="693" spans="1:19" x14ac:dyDescent="0.25">
      <c r="A693">
        <v>2010109304</v>
      </c>
      <c r="B693" t="s">
        <v>28</v>
      </c>
      <c r="C693" t="s">
        <v>29</v>
      </c>
      <c r="D693" t="s">
        <v>1634</v>
      </c>
      <c r="E693" t="s">
        <v>1635</v>
      </c>
      <c r="F693" t="e">
        <f>--ds-btn-disabled-danger-hover-text</f>
        <v>#NAME?</v>
      </c>
      <c r="G693" t="s">
        <v>60</v>
      </c>
      <c r="H693" t="s">
        <v>60</v>
      </c>
      <c r="I693" t="s">
        <v>32</v>
      </c>
      <c r="J693" t="s">
        <v>24</v>
      </c>
      <c r="K693" t="s">
        <v>131</v>
      </c>
      <c r="L693" t="s">
        <v>161</v>
      </c>
      <c r="M693" t="s">
        <v>49</v>
      </c>
      <c r="N693" t="s">
        <v>1627</v>
      </c>
      <c r="O693">
        <v>1</v>
      </c>
      <c r="P693">
        <v>1</v>
      </c>
      <c r="Q693">
        <v>0</v>
      </c>
      <c r="R693" s="1">
        <v>46195.677384259259</v>
      </c>
      <c r="S693" s="1">
        <v>46205.872361111113</v>
      </c>
    </row>
    <row r="694" spans="1:19" x14ac:dyDescent="0.25">
      <c r="A694">
        <v>2010109305</v>
      </c>
      <c r="B694" t="s">
        <v>28</v>
      </c>
      <c r="C694" t="s">
        <v>29</v>
      </c>
      <c r="D694" t="s">
        <v>1636</v>
      </c>
      <c r="E694" t="s">
        <v>1637</v>
      </c>
      <c r="F694" t="e">
        <f>--ds-btn-disabled-danger-hover-border</f>
        <v>#NAME?</v>
      </c>
      <c r="G694" t="s">
        <v>1303</v>
      </c>
      <c r="H694" t="s">
        <v>1303</v>
      </c>
      <c r="I694" t="s">
        <v>32</v>
      </c>
      <c r="J694" t="s">
        <v>24</v>
      </c>
      <c r="K694" t="s">
        <v>131</v>
      </c>
      <c r="L694" t="s">
        <v>161</v>
      </c>
      <c r="M694" t="s">
        <v>53</v>
      </c>
      <c r="N694" t="s">
        <v>1627</v>
      </c>
      <c r="O694">
        <v>1</v>
      </c>
      <c r="P694">
        <v>1</v>
      </c>
      <c r="Q694">
        <v>0</v>
      </c>
      <c r="R694" s="1">
        <v>46195.677384259259</v>
      </c>
      <c r="S694" s="1">
        <v>46205.872361111113</v>
      </c>
    </row>
    <row r="695" spans="1:19" x14ac:dyDescent="0.25">
      <c r="A695">
        <v>2010109306</v>
      </c>
      <c r="B695" t="s">
        <v>28</v>
      </c>
      <c r="C695" t="s">
        <v>29</v>
      </c>
      <c r="D695" t="s">
        <v>1638</v>
      </c>
      <c r="E695" t="s">
        <v>1639</v>
      </c>
      <c r="F695" t="e">
        <f>--ds-btn-disabled-danger-disabled-bg</f>
        <v>#NAME?</v>
      </c>
      <c r="G695" t="s">
        <v>484</v>
      </c>
      <c r="H695" t="s">
        <v>484</v>
      </c>
      <c r="I695" t="s">
        <v>32</v>
      </c>
      <c r="J695" t="s">
        <v>24</v>
      </c>
      <c r="K695" t="s">
        <v>131</v>
      </c>
      <c r="L695" t="s">
        <v>161</v>
      </c>
      <c r="M695" t="s">
        <v>57</v>
      </c>
      <c r="N695" t="s">
        <v>1627</v>
      </c>
      <c r="O695">
        <v>1</v>
      </c>
      <c r="P695">
        <v>1</v>
      </c>
      <c r="Q695">
        <v>0</v>
      </c>
      <c r="R695" s="1">
        <v>46195.677384259259</v>
      </c>
      <c r="S695" s="1">
        <v>46205.872361111113</v>
      </c>
    </row>
    <row r="696" spans="1:19" x14ac:dyDescent="0.25">
      <c r="A696">
        <v>2010109307</v>
      </c>
      <c r="B696" t="s">
        <v>28</v>
      </c>
      <c r="C696" t="s">
        <v>29</v>
      </c>
      <c r="D696" t="s">
        <v>1640</v>
      </c>
      <c r="E696" t="s">
        <v>1641</v>
      </c>
      <c r="F696" t="e">
        <f>--ds-btn-disabled-danger-disabled-text</f>
        <v>#NAME?</v>
      </c>
      <c r="G696" t="s">
        <v>60</v>
      </c>
      <c r="H696" t="s">
        <v>60</v>
      </c>
      <c r="I696" t="s">
        <v>32</v>
      </c>
      <c r="J696" t="s">
        <v>24</v>
      </c>
      <c r="K696" t="s">
        <v>131</v>
      </c>
      <c r="L696" t="s">
        <v>161</v>
      </c>
      <c r="M696" t="s">
        <v>61</v>
      </c>
      <c r="N696" t="s">
        <v>1627</v>
      </c>
      <c r="O696">
        <v>1</v>
      </c>
      <c r="P696">
        <v>1</v>
      </c>
      <c r="Q696">
        <v>0</v>
      </c>
      <c r="R696" s="1">
        <v>46195.677384259259</v>
      </c>
      <c r="S696" s="1">
        <v>46205.872361111113</v>
      </c>
    </row>
    <row r="697" spans="1:19" x14ac:dyDescent="0.25">
      <c r="A697">
        <v>2010109308</v>
      </c>
      <c r="B697" t="s">
        <v>28</v>
      </c>
      <c r="C697" t="s">
        <v>29</v>
      </c>
      <c r="D697" t="s">
        <v>1642</v>
      </c>
      <c r="E697" t="s">
        <v>1643</v>
      </c>
      <c r="F697" t="e">
        <f>--ds-btn-disabled-danger-disabled-border</f>
        <v>#NAME?</v>
      </c>
      <c r="G697" t="s">
        <v>1303</v>
      </c>
      <c r="H697" t="s">
        <v>1303</v>
      </c>
      <c r="I697" t="s">
        <v>32</v>
      </c>
      <c r="J697" t="s">
        <v>24</v>
      </c>
      <c r="K697" t="s">
        <v>131</v>
      </c>
      <c r="L697" t="s">
        <v>161</v>
      </c>
      <c r="M697" t="s">
        <v>65</v>
      </c>
      <c r="N697" t="s">
        <v>1627</v>
      </c>
      <c r="O697">
        <v>1</v>
      </c>
      <c r="P697">
        <v>1</v>
      </c>
      <c r="Q697">
        <v>0</v>
      </c>
      <c r="R697" s="1">
        <v>46195.677384259259</v>
      </c>
      <c r="S697" s="1">
        <v>46205.872361111113</v>
      </c>
    </row>
    <row r="698" spans="1:19" x14ac:dyDescent="0.25">
      <c r="A698">
        <v>2010109309</v>
      </c>
      <c r="B698" t="s">
        <v>28</v>
      </c>
      <c r="C698" t="s">
        <v>29</v>
      </c>
      <c r="D698" t="s">
        <v>1644</v>
      </c>
      <c r="E698" t="s">
        <v>1645</v>
      </c>
      <c r="F698" t="e">
        <f>--ds-btn-disabled-danger-shadow</f>
        <v>#NAME?</v>
      </c>
      <c r="G698" t="s">
        <v>68</v>
      </c>
      <c r="H698" t="s">
        <v>68</v>
      </c>
      <c r="I698" t="s">
        <v>32</v>
      </c>
      <c r="J698" t="s">
        <v>69</v>
      </c>
      <c r="K698" t="s">
        <v>131</v>
      </c>
      <c r="L698" t="s">
        <v>161</v>
      </c>
      <c r="M698" t="s">
        <v>70</v>
      </c>
      <c r="N698" t="s">
        <v>1627</v>
      </c>
      <c r="O698">
        <v>1</v>
      </c>
      <c r="P698">
        <v>0</v>
      </c>
      <c r="Q698">
        <v>0</v>
      </c>
      <c r="R698" s="1">
        <v>46195.677384259259</v>
      </c>
      <c r="S698" s="1">
        <v>46205.872361111113</v>
      </c>
    </row>
    <row r="699" spans="1:19" x14ac:dyDescent="0.25">
      <c r="A699">
        <v>2010109310</v>
      </c>
      <c r="B699" t="s">
        <v>28</v>
      </c>
      <c r="C699" t="s">
        <v>29</v>
      </c>
      <c r="D699" t="s">
        <v>1646</v>
      </c>
      <c r="E699" t="s">
        <v>1647</v>
      </c>
      <c r="F699" t="e">
        <f>--ds-btn-disabled-danger-radius</f>
        <v>#NAME?</v>
      </c>
      <c r="G699" t="s">
        <v>73</v>
      </c>
      <c r="H699" t="s">
        <v>73</v>
      </c>
      <c r="I699" t="s">
        <v>32</v>
      </c>
      <c r="J699" t="s">
        <v>69</v>
      </c>
      <c r="K699" t="s">
        <v>131</v>
      </c>
      <c r="L699" t="s">
        <v>161</v>
      </c>
      <c r="M699" t="s">
        <v>74</v>
      </c>
      <c r="N699" t="s">
        <v>1627</v>
      </c>
      <c r="O699">
        <v>1</v>
      </c>
      <c r="P699">
        <v>0</v>
      </c>
      <c r="Q699">
        <v>0</v>
      </c>
      <c r="R699" s="1">
        <v>46195.677384259259</v>
      </c>
      <c r="S699" s="1">
        <v>46205.872361111113</v>
      </c>
    </row>
    <row r="700" spans="1:19" x14ac:dyDescent="0.25">
      <c r="A700">
        <v>2010109311</v>
      </c>
      <c r="B700" t="s">
        <v>28</v>
      </c>
      <c r="C700" t="s">
        <v>29</v>
      </c>
      <c r="D700" t="s">
        <v>1648</v>
      </c>
      <c r="E700" t="s">
        <v>1649</v>
      </c>
      <c r="F700" t="e">
        <f>--ds-btn-disabled-danger-padding-x</f>
        <v>#NAME?</v>
      </c>
      <c r="G700" t="s">
        <v>77</v>
      </c>
      <c r="H700" t="s">
        <v>77</v>
      </c>
      <c r="I700" t="s">
        <v>32</v>
      </c>
      <c r="J700" t="s">
        <v>78</v>
      </c>
      <c r="K700" t="s">
        <v>131</v>
      </c>
      <c r="L700" t="s">
        <v>161</v>
      </c>
      <c r="M700" t="s">
        <v>79</v>
      </c>
      <c r="N700" t="s">
        <v>1627</v>
      </c>
      <c r="O700">
        <v>1</v>
      </c>
      <c r="P700">
        <v>0</v>
      </c>
      <c r="Q700">
        <v>0</v>
      </c>
      <c r="R700" s="1">
        <v>46195.677384259259</v>
      </c>
      <c r="S700" s="1">
        <v>46205.872361111113</v>
      </c>
    </row>
    <row r="701" spans="1:19" x14ac:dyDescent="0.25">
      <c r="A701">
        <v>2010109312</v>
      </c>
      <c r="B701" t="s">
        <v>28</v>
      </c>
      <c r="C701" t="s">
        <v>29</v>
      </c>
      <c r="D701" t="s">
        <v>1650</v>
      </c>
      <c r="E701" t="s">
        <v>1651</v>
      </c>
      <c r="F701" t="e">
        <f>--ds-btn-disabled-danger-padding-y</f>
        <v>#NAME?</v>
      </c>
      <c r="G701" t="s">
        <v>82</v>
      </c>
      <c r="H701" t="s">
        <v>82</v>
      </c>
      <c r="I701" t="s">
        <v>32</v>
      </c>
      <c r="J701" t="s">
        <v>78</v>
      </c>
      <c r="K701" t="s">
        <v>131</v>
      </c>
      <c r="L701" t="s">
        <v>161</v>
      </c>
      <c r="M701" t="s">
        <v>83</v>
      </c>
      <c r="N701" t="s">
        <v>1627</v>
      </c>
      <c r="O701">
        <v>1</v>
      </c>
      <c r="P701">
        <v>0</v>
      </c>
      <c r="Q701">
        <v>0</v>
      </c>
      <c r="R701" s="1">
        <v>46195.677384259259</v>
      </c>
      <c r="S701" s="1">
        <v>46205.872361111113</v>
      </c>
    </row>
    <row r="702" spans="1:19" x14ac:dyDescent="0.25">
      <c r="A702">
        <v>2010109313</v>
      </c>
      <c r="B702" t="s">
        <v>28</v>
      </c>
      <c r="C702" t="s">
        <v>29</v>
      </c>
      <c r="D702" t="s">
        <v>1652</v>
      </c>
      <c r="E702" t="s">
        <v>1653</v>
      </c>
      <c r="F702" t="e">
        <f>--ds-btn-disabled-danger-gap</f>
        <v>#NAME?</v>
      </c>
      <c r="G702" t="s">
        <v>86</v>
      </c>
      <c r="H702" t="s">
        <v>86</v>
      </c>
      <c r="I702" t="s">
        <v>32</v>
      </c>
      <c r="J702" t="s">
        <v>78</v>
      </c>
      <c r="K702" t="s">
        <v>131</v>
      </c>
      <c r="L702" t="s">
        <v>161</v>
      </c>
      <c r="M702" t="s">
        <v>87</v>
      </c>
      <c r="N702" t="s">
        <v>1627</v>
      </c>
      <c r="O702">
        <v>1</v>
      </c>
      <c r="P702">
        <v>0</v>
      </c>
      <c r="Q702">
        <v>0</v>
      </c>
      <c r="R702" s="1">
        <v>46195.677384259259</v>
      </c>
      <c r="S702" s="1">
        <v>46205.872361111113</v>
      </c>
    </row>
    <row r="703" spans="1:19" x14ac:dyDescent="0.25">
      <c r="A703">
        <v>2010109314</v>
      </c>
      <c r="B703" t="s">
        <v>28</v>
      </c>
      <c r="C703" t="s">
        <v>29</v>
      </c>
      <c r="D703" t="s">
        <v>1654</v>
      </c>
      <c r="E703" t="s">
        <v>1655</v>
      </c>
      <c r="F703" t="e">
        <f>--ds-btn-disabled-danger-focus-ring</f>
        <v>#NAME?</v>
      </c>
      <c r="G703" t="s">
        <v>1656</v>
      </c>
      <c r="H703" t="s">
        <v>1656</v>
      </c>
      <c r="I703" t="s">
        <v>32</v>
      </c>
      <c r="J703" t="s">
        <v>69</v>
      </c>
      <c r="K703" t="s">
        <v>131</v>
      </c>
      <c r="L703" t="s">
        <v>161</v>
      </c>
      <c r="M703" t="s">
        <v>91</v>
      </c>
      <c r="N703" t="s">
        <v>1627</v>
      </c>
      <c r="O703">
        <v>1</v>
      </c>
      <c r="P703">
        <v>0</v>
      </c>
      <c r="Q703">
        <v>0</v>
      </c>
      <c r="R703" s="1">
        <v>46195.677384259259</v>
      </c>
      <c r="S703" s="1">
        <v>46205.872361111113</v>
      </c>
    </row>
    <row r="704" spans="1:19" x14ac:dyDescent="0.25">
      <c r="A704">
        <v>2010109315</v>
      </c>
      <c r="B704" t="s">
        <v>28</v>
      </c>
      <c r="C704" t="s">
        <v>29</v>
      </c>
      <c r="D704" t="s">
        <v>1657</v>
      </c>
      <c r="E704" t="s">
        <v>1658</v>
      </c>
      <c r="F704" t="e">
        <f>--ds-btn-disabled-danger-outline</f>
        <v>#NAME?</v>
      </c>
      <c r="G704" t="s">
        <v>94</v>
      </c>
      <c r="H704" t="s">
        <v>94</v>
      </c>
      <c r="I704" t="s">
        <v>32</v>
      </c>
      <c r="J704" t="s">
        <v>69</v>
      </c>
      <c r="K704" t="s">
        <v>131</v>
      </c>
      <c r="L704" t="s">
        <v>161</v>
      </c>
      <c r="M704" t="s">
        <v>95</v>
      </c>
      <c r="N704" t="s">
        <v>1627</v>
      </c>
      <c r="O704">
        <v>1</v>
      </c>
      <c r="P704">
        <v>0</v>
      </c>
      <c r="Q704">
        <v>0</v>
      </c>
      <c r="R704" s="1">
        <v>46195.677384259259</v>
      </c>
      <c r="S704" s="1">
        <v>46205.872361111113</v>
      </c>
    </row>
    <row r="705" spans="1:19" x14ac:dyDescent="0.25">
      <c r="A705">
        <v>2010109316</v>
      </c>
      <c r="B705" t="s">
        <v>28</v>
      </c>
      <c r="C705" t="s">
        <v>29</v>
      </c>
      <c r="D705" t="s">
        <v>1659</v>
      </c>
      <c r="E705" t="s">
        <v>1660</v>
      </c>
      <c r="F705" t="e">
        <f>--ds-btn-disabled-danger-transition</f>
        <v>#NAME?</v>
      </c>
      <c r="G705" t="s">
        <v>98</v>
      </c>
      <c r="H705" t="s">
        <v>98</v>
      </c>
      <c r="I705" t="s">
        <v>32</v>
      </c>
      <c r="J705" t="s">
        <v>69</v>
      </c>
      <c r="K705" t="s">
        <v>131</v>
      </c>
      <c r="L705" t="s">
        <v>161</v>
      </c>
      <c r="M705" t="s">
        <v>99</v>
      </c>
      <c r="N705" t="s">
        <v>1627</v>
      </c>
      <c r="O705">
        <v>1</v>
      </c>
      <c r="P705">
        <v>0</v>
      </c>
      <c r="Q705">
        <v>0</v>
      </c>
      <c r="R705" s="1">
        <v>46195.677384259259</v>
      </c>
      <c r="S705" s="1">
        <v>46205.872361111113</v>
      </c>
    </row>
    <row r="706" spans="1:19" x14ac:dyDescent="0.25">
      <c r="A706">
        <v>2010109317</v>
      </c>
      <c r="B706" t="s">
        <v>28</v>
      </c>
      <c r="C706" t="s">
        <v>29</v>
      </c>
      <c r="D706" t="s">
        <v>1661</v>
      </c>
      <c r="E706" t="s">
        <v>1662</v>
      </c>
      <c r="F706" t="e">
        <f>--ds-btn-disabled-danger-icon-color</f>
        <v>#NAME?</v>
      </c>
      <c r="G706" t="s">
        <v>60</v>
      </c>
      <c r="H706" t="s">
        <v>60</v>
      </c>
      <c r="I706" t="s">
        <v>32</v>
      </c>
      <c r="J706" t="s">
        <v>24</v>
      </c>
      <c r="K706" t="s">
        <v>131</v>
      </c>
      <c r="L706" t="s">
        <v>161</v>
      </c>
      <c r="M706" t="s">
        <v>102</v>
      </c>
      <c r="N706" t="s">
        <v>1627</v>
      </c>
      <c r="O706">
        <v>1</v>
      </c>
      <c r="P706">
        <v>0</v>
      </c>
      <c r="Q706">
        <v>0</v>
      </c>
      <c r="R706" s="1">
        <v>46195.677384259259</v>
      </c>
      <c r="S706" s="1">
        <v>46205.872361111113</v>
      </c>
    </row>
    <row r="707" spans="1:19" x14ac:dyDescent="0.25">
      <c r="A707">
        <v>2010109318</v>
      </c>
      <c r="B707" t="s">
        <v>28</v>
      </c>
      <c r="C707" t="s">
        <v>29</v>
      </c>
      <c r="D707" t="s">
        <v>1663</v>
      </c>
      <c r="E707" t="s">
        <v>1664</v>
      </c>
      <c r="F707" t="e">
        <f>--ds-btn-disabled-danger-icon-size</f>
        <v>#NAME?</v>
      </c>
      <c r="G707" t="s">
        <v>105</v>
      </c>
      <c r="H707" t="s">
        <v>105</v>
      </c>
      <c r="I707" t="s">
        <v>32</v>
      </c>
      <c r="J707" t="s">
        <v>78</v>
      </c>
      <c r="K707" t="s">
        <v>131</v>
      </c>
      <c r="L707" t="s">
        <v>161</v>
      </c>
      <c r="M707" t="s">
        <v>106</v>
      </c>
      <c r="N707" t="s">
        <v>1627</v>
      </c>
      <c r="O707">
        <v>1</v>
      </c>
      <c r="P707">
        <v>0</v>
      </c>
      <c r="Q707">
        <v>0</v>
      </c>
      <c r="R707" s="1">
        <v>46195.677384259259</v>
      </c>
      <c r="S707" s="1">
        <v>46205.872361111113</v>
      </c>
    </row>
    <row r="708" spans="1:19" x14ac:dyDescent="0.25">
      <c r="A708">
        <v>2010109319</v>
      </c>
      <c r="B708" t="s">
        <v>28</v>
      </c>
      <c r="C708" t="s">
        <v>29</v>
      </c>
      <c r="D708" t="s">
        <v>1665</v>
      </c>
      <c r="E708" t="s">
        <v>1666</v>
      </c>
      <c r="F708" t="e">
        <f>--ds-btn-disabled-danger-line-height</f>
        <v>#NAME?</v>
      </c>
      <c r="G708">
        <v>1.2</v>
      </c>
      <c r="H708">
        <v>1.2</v>
      </c>
      <c r="I708" t="s">
        <v>32</v>
      </c>
      <c r="J708" t="s">
        <v>78</v>
      </c>
      <c r="K708" t="s">
        <v>131</v>
      </c>
      <c r="L708" t="s">
        <v>161</v>
      </c>
      <c r="M708" t="s">
        <v>109</v>
      </c>
      <c r="N708" t="s">
        <v>1627</v>
      </c>
      <c r="O708">
        <v>1</v>
      </c>
      <c r="P708">
        <v>0</v>
      </c>
      <c r="Q708">
        <v>0</v>
      </c>
      <c r="R708" s="1">
        <v>46195.677384259259</v>
      </c>
      <c r="S708" s="1">
        <v>46205.872361111113</v>
      </c>
    </row>
    <row r="709" spans="1:19" x14ac:dyDescent="0.25">
      <c r="A709">
        <v>2010109400</v>
      </c>
      <c r="B709" t="s">
        <v>28</v>
      </c>
      <c r="C709" t="s">
        <v>29</v>
      </c>
      <c r="D709" t="s">
        <v>1667</v>
      </c>
      <c r="E709" t="s">
        <v>1668</v>
      </c>
      <c r="F709" t="e">
        <f>--ds-btn-disabled-warning-bg</f>
        <v>#NAME?</v>
      </c>
      <c r="G709" t="s">
        <v>507</v>
      </c>
      <c r="H709" t="s">
        <v>507</v>
      </c>
      <c r="I709" t="s">
        <v>32</v>
      </c>
      <c r="J709" t="s">
        <v>24</v>
      </c>
      <c r="K709" t="s">
        <v>131</v>
      </c>
      <c r="L709" t="s">
        <v>183</v>
      </c>
      <c r="M709" t="s">
        <v>26</v>
      </c>
      <c r="N709" t="s">
        <v>1669</v>
      </c>
      <c r="O709">
        <v>1</v>
      </c>
      <c r="P709">
        <v>1</v>
      </c>
      <c r="Q709">
        <v>0</v>
      </c>
      <c r="R709" s="1">
        <v>46195.677835648145</v>
      </c>
      <c r="S709" s="1">
        <v>46205.872361111113</v>
      </c>
    </row>
    <row r="710" spans="1:19" x14ac:dyDescent="0.25">
      <c r="A710">
        <v>2010109401</v>
      </c>
      <c r="B710" t="s">
        <v>28</v>
      </c>
      <c r="C710" t="s">
        <v>29</v>
      </c>
      <c r="D710" t="s">
        <v>1670</v>
      </c>
      <c r="E710" t="s">
        <v>1671</v>
      </c>
      <c r="F710" t="e">
        <f>--ds-btn-disabled-warning-text</f>
        <v>#NAME?</v>
      </c>
      <c r="G710" t="s">
        <v>60</v>
      </c>
      <c r="H710" t="s">
        <v>60</v>
      </c>
      <c r="I710" t="s">
        <v>32</v>
      </c>
      <c r="J710" t="s">
        <v>24</v>
      </c>
      <c r="K710" t="s">
        <v>131</v>
      </c>
      <c r="L710" t="s">
        <v>183</v>
      </c>
      <c r="M710" t="s">
        <v>38</v>
      </c>
      <c r="N710" t="s">
        <v>1669</v>
      </c>
      <c r="O710">
        <v>1</v>
      </c>
      <c r="P710">
        <v>1</v>
      </c>
      <c r="Q710">
        <v>0</v>
      </c>
      <c r="R710" s="1">
        <v>46195.677835648145</v>
      </c>
      <c r="S710" s="1">
        <v>46205.872361111113</v>
      </c>
    </row>
    <row r="711" spans="1:19" x14ac:dyDescent="0.25">
      <c r="A711">
        <v>2010109402</v>
      </c>
      <c r="B711" t="s">
        <v>28</v>
      </c>
      <c r="C711" t="s">
        <v>29</v>
      </c>
      <c r="D711" t="s">
        <v>1672</v>
      </c>
      <c r="E711" t="s">
        <v>1673</v>
      </c>
      <c r="F711" t="e">
        <f>--ds-btn-disabled-warning-border</f>
        <v>#NAME?</v>
      </c>
      <c r="G711" t="s">
        <v>1346</v>
      </c>
      <c r="H711" t="s">
        <v>1346</v>
      </c>
      <c r="I711" t="s">
        <v>32</v>
      </c>
      <c r="J711" t="s">
        <v>24</v>
      </c>
      <c r="K711" t="s">
        <v>131</v>
      </c>
      <c r="L711" t="s">
        <v>183</v>
      </c>
      <c r="M711" t="s">
        <v>42</v>
      </c>
      <c r="N711" t="s">
        <v>1669</v>
      </c>
      <c r="O711">
        <v>1</v>
      </c>
      <c r="P711">
        <v>1</v>
      </c>
      <c r="Q711">
        <v>0</v>
      </c>
      <c r="R711" s="1">
        <v>46195.677835648145</v>
      </c>
      <c r="S711" s="1">
        <v>46205.872361111113</v>
      </c>
    </row>
    <row r="712" spans="1:19" x14ac:dyDescent="0.25">
      <c r="A712">
        <v>2010109403</v>
      </c>
      <c r="B712" t="s">
        <v>28</v>
      </c>
      <c r="C712" t="s">
        <v>29</v>
      </c>
      <c r="D712" t="s">
        <v>1674</v>
      </c>
      <c r="E712" t="s">
        <v>1675</v>
      </c>
      <c r="F712" t="e">
        <f>--ds-btn-disabled-warning-hover-bg</f>
        <v>#NAME?</v>
      </c>
      <c r="G712" t="s">
        <v>507</v>
      </c>
      <c r="H712" t="s">
        <v>507</v>
      </c>
      <c r="I712" t="s">
        <v>32</v>
      </c>
      <c r="J712" t="s">
        <v>24</v>
      </c>
      <c r="K712" t="s">
        <v>131</v>
      </c>
      <c r="L712" t="s">
        <v>183</v>
      </c>
      <c r="M712" t="s">
        <v>46</v>
      </c>
      <c r="N712" t="s">
        <v>1669</v>
      </c>
      <c r="O712">
        <v>1</v>
      </c>
      <c r="P712">
        <v>1</v>
      </c>
      <c r="Q712">
        <v>0</v>
      </c>
      <c r="R712" s="1">
        <v>46195.677835648145</v>
      </c>
      <c r="S712" s="1">
        <v>46205.872361111113</v>
      </c>
    </row>
    <row r="713" spans="1:19" x14ac:dyDescent="0.25">
      <c r="A713">
        <v>2010109404</v>
      </c>
      <c r="B713" t="s">
        <v>28</v>
      </c>
      <c r="C713" t="s">
        <v>29</v>
      </c>
      <c r="D713" t="s">
        <v>1676</v>
      </c>
      <c r="E713" t="s">
        <v>1677</v>
      </c>
      <c r="F713" t="e">
        <f>--ds-btn-disabled-warning-hover-text</f>
        <v>#NAME?</v>
      </c>
      <c r="G713" t="s">
        <v>60</v>
      </c>
      <c r="H713" t="s">
        <v>60</v>
      </c>
      <c r="I713" t="s">
        <v>32</v>
      </c>
      <c r="J713" t="s">
        <v>24</v>
      </c>
      <c r="K713" t="s">
        <v>131</v>
      </c>
      <c r="L713" t="s">
        <v>183</v>
      </c>
      <c r="M713" t="s">
        <v>49</v>
      </c>
      <c r="N713" t="s">
        <v>1669</v>
      </c>
      <c r="O713">
        <v>1</v>
      </c>
      <c r="P713">
        <v>1</v>
      </c>
      <c r="Q713">
        <v>0</v>
      </c>
      <c r="R713" s="1">
        <v>46195.677835648145</v>
      </c>
      <c r="S713" s="1">
        <v>46205.872361111113</v>
      </c>
    </row>
    <row r="714" spans="1:19" x14ac:dyDescent="0.25">
      <c r="A714">
        <v>2010109405</v>
      </c>
      <c r="B714" t="s">
        <v>28</v>
      </c>
      <c r="C714" t="s">
        <v>29</v>
      </c>
      <c r="D714" t="s">
        <v>1678</v>
      </c>
      <c r="E714" t="s">
        <v>1679</v>
      </c>
      <c r="F714" t="e">
        <f>--ds-btn-disabled-warning-hover-border</f>
        <v>#NAME?</v>
      </c>
      <c r="G714" t="s">
        <v>1346</v>
      </c>
      <c r="H714" t="s">
        <v>1346</v>
      </c>
      <c r="I714" t="s">
        <v>32</v>
      </c>
      <c r="J714" t="s">
        <v>24</v>
      </c>
      <c r="K714" t="s">
        <v>131</v>
      </c>
      <c r="L714" t="s">
        <v>183</v>
      </c>
      <c r="M714" t="s">
        <v>53</v>
      </c>
      <c r="N714" t="s">
        <v>1669</v>
      </c>
      <c r="O714">
        <v>1</v>
      </c>
      <c r="P714">
        <v>1</v>
      </c>
      <c r="Q714">
        <v>0</v>
      </c>
      <c r="R714" s="1">
        <v>46195.677835648145</v>
      </c>
      <c r="S714" s="1">
        <v>46205.872361111113</v>
      </c>
    </row>
    <row r="715" spans="1:19" x14ac:dyDescent="0.25">
      <c r="A715">
        <v>2010109406</v>
      </c>
      <c r="B715" t="s">
        <v>28</v>
      </c>
      <c r="C715" t="s">
        <v>29</v>
      </c>
      <c r="D715" t="s">
        <v>1680</v>
      </c>
      <c r="E715" t="s">
        <v>1681</v>
      </c>
      <c r="F715" t="e">
        <f>--ds-btn-disabled-warning-disabled-bg</f>
        <v>#NAME?</v>
      </c>
      <c r="G715" t="s">
        <v>507</v>
      </c>
      <c r="H715" t="s">
        <v>507</v>
      </c>
      <c r="I715" t="s">
        <v>32</v>
      </c>
      <c r="J715" t="s">
        <v>24</v>
      </c>
      <c r="K715" t="s">
        <v>131</v>
      </c>
      <c r="L715" t="s">
        <v>183</v>
      </c>
      <c r="M715" t="s">
        <v>57</v>
      </c>
      <c r="N715" t="s">
        <v>1669</v>
      </c>
      <c r="O715">
        <v>1</v>
      </c>
      <c r="P715">
        <v>1</v>
      </c>
      <c r="Q715">
        <v>0</v>
      </c>
      <c r="R715" s="1">
        <v>46195.677835648145</v>
      </c>
      <c r="S715" s="1">
        <v>46205.872361111113</v>
      </c>
    </row>
    <row r="716" spans="1:19" x14ac:dyDescent="0.25">
      <c r="A716">
        <v>2010109407</v>
      </c>
      <c r="B716" t="s">
        <v>28</v>
      </c>
      <c r="C716" t="s">
        <v>29</v>
      </c>
      <c r="D716" t="s">
        <v>1682</v>
      </c>
      <c r="E716" t="s">
        <v>1683</v>
      </c>
      <c r="F716" t="e">
        <f>--ds-btn-disabled-warning-disabled-text</f>
        <v>#NAME?</v>
      </c>
      <c r="G716" t="s">
        <v>60</v>
      </c>
      <c r="H716" t="s">
        <v>60</v>
      </c>
      <c r="I716" t="s">
        <v>32</v>
      </c>
      <c r="J716" t="s">
        <v>24</v>
      </c>
      <c r="K716" t="s">
        <v>131</v>
      </c>
      <c r="L716" t="s">
        <v>183</v>
      </c>
      <c r="M716" t="s">
        <v>61</v>
      </c>
      <c r="N716" t="s">
        <v>1669</v>
      </c>
      <c r="O716">
        <v>1</v>
      </c>
      <c r="P716">
        <v>1</v>
      </c>
      <c r="Q716">
        <v>0</v>
      </c>
      <c r="R716" s="1">
        <v>46195.677835648145</v>
      </c>
      <c r="S716" s="1">
        <v>46205.872361111113</v>
      </c>
    </row>
    <row r="717" spans="1:19" x14ac:dyDescent="0.25">
      <c r="A717">
        <v>2010109408</v>
      </c>
      <c r="B717" t="s">
        <v>28</v>
      </c>
      <c r="C717" t="s">
        <v>29</v>
      </c>
      <c r="D717" t="s">
        <v>1684</v>
      </c>
      <c r="E717" t="s">
        <v>1685</v>
      </c>
      <c r="F717" t="e">
        <f>--ds-btn-disabled-warning-disabled-border</f>
        <v>#NAME?</v>
      </c>
      <c r="G717" t="s">
        <v>1346</v>
      </c>
      <c r="H717" t="s">
        <v>1346</v>
      </c>
      <c r="I717" t="s">
        <v>32</v>
      </c>
      <c r="J717" t="s">
        <v>24</v>
      </c>
      <c r="K717" t="s">
        <v>131</v>
      </c>
      <c r="L717" t="s">
        <v>183</v>
      </c>
      <c r="M717" t="s">
        <v>65</v>
      </c>
      <c r="N717" t="s">
        <v>1669</v>
      </c>
      <c r="O717">
        <v>1</v>
      </c>
      <c r="P717">
        <v>1</v>
      </c>
      <c r="Q717">
        <v>0</v>
      </c>
      <c r="R717" s="1">
        <v>46195.677835648145</v>
      </c>
      <c r="S717" s="1">
        <v>46205.872361111113</v>
      </c>
    </row>
    <row r="718" spans="1:19" x14ac:dyDescent="0.25">
      <c r="A718">
        <v>2010109409</v>
      </c>
      <c r="B718" t="s">
        <v>28</v>
      </c>
      <c r="C718" t="s">
        <v>29</v>
      </c>
      <c r="D718" t="s">
        <v>1686</v>
      </c>
      <c r="E718" t="s">
        <v>1687</v>
      </c>
      <c r="F718" t="e">
        <f>--ds-btn-disabled-warning-shadow</f>
        <v>#NAME?</v>
      </c>
      <c r="G718" t="s">
        <v>68</v>
      </c>
      <c r="H718" t="s">
        <v>68</v>
      </c>
      <c r="I718" t="s">
        <v>32</v>
      </c>
      <c r="J718" t="s">
        <v>69</v>
      </c>
      <c r="K718" t="s">
        <v>131</v>
      </c>
      <c r="L718" t="s">
        <v>183</v>
      </c>
      <c r="M718" t="s">
        <v>70</v>
      </c>
      <c r="N718" t="s">
        <v>1669</v>
      </c>
      <c r="O718">
        <v>1</v>
      </c>
      <c r="P718">
        <v>0</v>
      </c>
      <c r="Q718">
        <v>0</v>
      </c>
      <c r="R718" s="1">
        <v>46195.677835648145</v>
      </c>
      <c r="S718" s="1">
        <v>46205.872361111113</v>
      </c>
    </row>
    <row r="719" spans="1:19" x14ac:dyDescent="0.25">
      <c r="A719">
        <v>2010109410</v>
      </c>
      <c r="B719" t="s">
        <v>28</v>
      </c>
      <c r="C719" t="s">
        <v>29</v>
      </c>
      <c r="D719" t="s">
        <v>1688</v>
      </c>
      <c r="E719" t="s">
        <v>1689</v>
      </c>
      <c r="F719" t="e">
        <f>--ds-btn-disabled-warning-radius</f>
        <v>#NAME?</v>
      </c>
      <c r="G719" t="s">
        <v>73</v>
      </c>
      <c r="H719" t="s">
        <v>73</v>
      </c>
      <c r="I719" t="s">
        <v>32</v>
      </c>
      <c r="J719" t="s">
        <v>69</v>
      </c>
      <c r="K719" t="s">
        <v>131</v>
      </c>
      <c r="L719" t="s">
        <v>183</v>
      </c>
      <c r="M719" t="s">
        <v>74</v>
      </c>
      <c r="N719" t="s">
        <v>1669</v>
      </c>
      <c r="O719">
        <v>1</v>
      </c>
      <c r="P719">
        <v>0</v>
      </c>
      <c r="Q719">
        <v>0</v>
      </c>
      <c r="R719" s="1">
        <v>46195.677835648145</v>
      </c>
      <c r="S719" s="1">
        <v>46205.872361111113</v>
      </c>
    </row>
    <row r="720" spans="1:19" x14ac:dyDescent="0.25">
      <c r="A720">
        <v>2010109411</v>
      </c>
      <c r="B720" t="s">
        <v>28</v>
      </c>
      <c r="C720" t="s">
        <v>29</v>
      </c>
      <c r="D720" t="s">
        <v>1690</v>
      </c>
      <c r="E720" t="s">
        <v>1691</v>
      </c>
      <c r="F720" t="e">
        <f>--ds-btn-disabled-warning-padding-x</f>
        <v>#NAME?</v>
      </c>
      <c r="G720" t="s">
        <v>77</v>
      </c>
      <c r="H720" t="s">
        <v>77</v>
      </c>
      <c r="I720" t="s">
        <v>32</v>
      </c>
      <c r="J720" t="s">
        <v>78</v>
      </c>
      <c r="K720" t="s">
        <v>131</v>
      </c>
      <c r="L720" t="s">
        <v>183</v>
      </c>
      <c r="M720" t="s">
        <v>79</v>
      </c>
      <c r="N720" t="s">
        <v>1669</v>
      </c>
      <c r="O720">
        <v>1</v>
      </c>
      <c r="P720">
        <v>0</v>
      </c>
      <c r="Q720">
        <v>0</v>
      </c>
      <c r="R720" s="1">
        <v>46195.677835648145</v>
      </c>
      <c r="S720" s="1">
        <v>46205.872361111113</v>
      </c>
    </row>
    <row r="721" spans="1:19" x14ac:dyDescent="0.25">
      <c r="A721">
        <v>2010109412</v>
      </c>
      <c r="B721" t="s">
        <v>28</v>
      </c>
      <c r="C721" t="s">
        <v>29</v>
      </c>
      <c r="D721" t="s">
        <v>1692</v>
      </c>
      <c r="E721" t="s">
        <v>1693</v>
      </c>
      <c r="F721" t="e">
        <f>--ds-btn-disabled-warning-padding-y</f>
        <v>#NAME?</v>
      </c>
      <c r="G721" t="s">
        <v>82</v>
      </c>
      <c r="H721" t="s">
        <v>82</v>
      </c>
      <c r="I721" t="s">
        <v>32</v>
      </c>
      <c r="J721" t="s">
        <v>78</v>
      </c>
      <c r="K721" t="s">
        <v>131</v>
      </c>
      <c r="L721" t="s">
        <v>183</v>
      </c>
      <c r="M721" t="s">
        <v>83</v>
      </c>
      <c r="N721" t="s">
        <v>1669</v>
      </c>
      <c r="O721">
        <v>1</v>
      </c>
      <c r="P721">
        <v>0</v>
      </c>
      <c r="Q721">
        <v>0</v>
      </c>
      <c r="R721" s="1">
        <v>46195.677835648145</v>
      </c>
      <c r="S721" s="1">
        <v>46205.872361111113</v>
      </c>
    </row>
    <row r="722" spans="1:19" x14ac:dyDescent="0.25">
      <c r="A722">
        <v>2010109413</v>
      </c>
      <c r="B722" t="s">
        <v>28</v>
      </c>
      <c r="C722" t="s">
        <v>29</v>
      </c>
      <c r="D722" t="s">
        <v>1694</v>
      </c>
      <c r="E722" t="s">
        <v>1695</v>
      </c>
      <c r="F722" t="e">
        <f>--ds-btn-disabled-warning-gap</f>
        <v>#NAME?</v>
      </c>
      <c r="G722" t="s">
        <v>86</v>
      </c>
      <c r="H722" t="s">
        <v>86</v>
      </c>
      <c r="I722" t="s">
        <v>32</v>
      </c>
      <c r="J722" t="s">
        <v>78</v>
      </c>
      <c r="K722" t="s">
        <v>131</v>
      </c>
      <c r="L722" t="s">
        <v>183</v>
      </c>
      <c r="M722" t="s">
        <v>87</v>
      </c>
      <c r="N722" t="s">
        <v>1669</v>
      </c>
      <c r="O722">
        <v>1</v>
      </c>
      <c r="P722">
        <v>0</v>
      </c>
      <c r="Q722">
        <v>0</v>
      </c>
      <c r="R722" s="1">
        <v>46195.677835648145</v>
      </c>
      <c r="S722" s="1">
        <v>46205.872361111113</v>
      </c>
    </row>
    <row r="723" spans="1:19" x14ac:dyDescent="0.25">
      <c r="A723">
        <v>2010109414</v>
      </c>
      <c r="B723" t="s">
        <v>28</v>
      </c>
      <c r="C723" t="s">
        <v>29</v>
      </c>
      <c r="D723" t="s">
        <v>1696</v>
      </c>
      <c r="E723" t="s">
        <v>1697</v>
      </c>
      <c r="F723" t="e">
        <f>--ds-btn-disabled-warning-focus-ring</f>
        <v>#NAME?</v>
      </c>
      <c r="G723" t="s">
        <v>1698</v>
      </c>
      <c r="H723" t="s">
        <v>1698</v>
      </c>
      <c r="I723" t="s">
        <v>32</v>
      </c>
      <c r="J723" t="s">
        <v>69</v>
      </c>
      <c r="K723" t="s">
        <v>131</v>
      </c>
      <c r="L723" t="s">
        <v>183</v>
      </c>
      <c r="M723" t="s">
        <v>91</v>
      </c>
      <c r="N723" t="s">
        <v>1669</v>
      </c>
      <c r="O723">
        <v>1</v>
      </c>
      <c r="P723">
        <v>0</v>
      </c>
      <c r="Q723">
        <v>0</v>
      </c>
      <c r="R723" s="1">
        <v>46195.677835648145</v>
      </c>
      <c r="S723" s="1">
        <v>46205.872361111113</v>
      </c>
    </row>
    <row r="724" spans="1:19" x14ac:dyDescent="0.25">
      <c r="A724">
        <v>2010109415</v>
      </c>
      <c r="B724" t="s">
        <v>28</v>
      </c>
      <c r="C724" t="s">
        <v>29</v>
      </c>
      <c r="D724" t="s">
        <v>1699</v>
      </c>
      <c r="E724" t="s">
        <v>1700</v>
      </c>
      <c r="F724" t="e">
        <f>--ds-btn-disabled-warning-outline</f>
        <v>#NAME?</v>
      </c>
      <c r="G724" t="s">
        <v>94</v>
      </c>
      <c r="H724" t="s">
        <v>94</v>
      </c>
      <c r="I724" t="s">
        <v>32</v>
      </c>
      <c r="J724" t="s">
        <v>69</v>
      </c>
      <c r="K724" t="s">
        <v>131</v>
      </c>
      <c r="L724" t="s">
        <v>183</v>
      </c>
      <c r="M724" t="s">
        <v>95</v>
      </c>
      <c r="N724" t="s">
        <v>1669</v>
      </c>
      <c r="O724">
        <v>1</v>
      </c>
      <c r="P724">
        <v>0</v>
      </c>
      <c r="Q724">
        <v>0</v>
      </c>
      <c r="R724" s="1">
        <v>46195.677835648145</v>
      </c>
      <c r="S724" s="1">
        <v>46205.872361111113</v>
      </c>
    </row>
    <row r="725" spans="1:19" x14ac:dyDescent="0.25">
      <c r="A725">
        <v>2010109416</v>
      </c>
      <c r="B725" t="s">
        <v>28</v>
      </c>
      <c r="C725" t="s">
        <v>29</v>
      </c>
      <c r="D725" t="s">
        <v>1701</v>
      </c>
      <c r="E725" t="s">
        <v>1702</v>
      </c>
      <c r="F725" t="e">
        <f>--ds-btn-disabled-warning-transition</f>
        <v>#NAME?</v>
      </c>
      <c r="G725" t="s">
        <v>98</v>
      </c>
      <c r="H725" t="s">
        <v>98</v>
      </c>
      <c r="I725" t="s">
        <v>32</v>
      </c>
      <c r="J725" t="s">
        <v>69</v>
      </c>
      <c r="K725" t="s">
        <v>131</v>
      </c>
      <c r="L725" t="s">
        <v>183</v>
      </c>
      <c r="M725" t="s">
        <v>99</v>
      </c>
      <c r="N725" t="s">
        <v>1669</v>
      </c>
      <c r="O725">
        <v>1</v>
      </c>
      <c r="P725">
        <v>0</v>
      </c>
      <c r="Q725">
        <v>0</v>
      </c>
      <c r="R725" s="1">
        <v>46195.677835648145</v>
      </c>
      <c r="S725" s="1">
        <v>46205.872361111113</v>
      </c>
    </row>
    <row r="726" spans="1:19" x14ac:dyDescent="0.25">
      <c r="A726">
        <v>2010109417</v>
      </c>
      <c r="B726" t="s">
        <v>28</v>
      </c>
      <c r="C726" t="s">
        <v>29</v>
      </c>
      <c r="D726" t="s">
        <v>1703</v>
      </c>
      <c r="E726" t="s">
        <v>1704</v>
      </c>
      <c r="F726" t="e">
        <f>--ds-btn-disabled-warning-icon-color</f>
        <v>#NAME?</v>
      </c>
      <c r="G726" t="s">
        <v>60</v>
      </c>
      <c r="H726" t="s">
        <v>60</v>
      </c>
      <c r="I726" t="s">
        <v>32</v>
      </c>
      <c r="J726" t="s">
        <v>24</v>
      </c>
      <c r="K726" t="s">
        <v>131</v>
      </c>
      <c r="L726" t="s">
        <v>183</v>
      </c>
      <c r="M726" t="s">
        <v>102</v>
      </c>
      <c r="N726" t="s">
        <v>1669</v>
      </c>
      <c r="O726">
        <v>1</v>
      </c>
      <c r="P726">
        <v>0</v>
      </c>
      <c r="Q726">
        <v>0</v>
      </c>
      <c r="R726" s="1">
        <v>46195.677835648145</v>
      </c>
      <c r="S726" s="1">
        <v>46205.872361111113</v>
      </c>
    </row>
    <row r="727" spans="1:19" x14ac:dyDescent="0.25">
      <c r="A727">
        <v>2010109418</v>
      </c>
      <c r="B727" t="s">
        <v>28</v>
      </c>
      <c r="C727" t="s">
        <v>29</v>
      </c>
      <c r="D727" t="s">
        <v>1705</v>
      </c>
      <c r="E727" t="s">
        <v>1706</v>
      </c>
      <c r="F727" t="e">
        <f>--ds-btn-disabled-warning-icon-size</f>
        <v>#NAME?</v>
      </c>
      <c r="G727" t="s">
        <v>105</v>
      </c>
      <c r="H727" t="s">
        <v>105</v>
      </c>
      <c r="I727" t="s">
        <v>32</v>
      </c>
      <c r="J727" t="s">
        <v>78</v>
      </c>
      <c r="K727" t="s">
        <v>131</v>
      </c>
      <c r="L727" t="s">
        <v>183</v>
      </c>
      <c r="M727" t="s">
        <v>106</v>
      </c>
      <c r="N727" t="s">
        <v>1669</v>
      </c>
      <c r="O727">
        <v>1</v>
      </c>
      <c r="P727">
        <v>0</v>
      </c>
      <c r="Q727">
        <v>0</v>
      </c>
      <c r="R727" s="1">
        <v>46195.677835648145</v>
      </c>
      <c r="S727" s="1">
        <v>46205.872361111113</v>
      </c>
    </row>
    <row r="728" spans="1:19" x14ac:dyDescent="0.25">
      <c r="A728">
        <v>2010109419</v>
      </c>
      <c r="B728" t="s">
        <v>28</v>
      </c>
      <c r="C728" t="s">
        <v>29</v>
      </c>
      <c r="D728" t="s">
        <v>1707</v>
      </c>
      <c r="E728" t="s">
        <v>1708</v>
      </c>
      <c r="F728" t="e">
        <f>--ds-btn-disabled-warning-line-height</f>
        <v>#NAME?</v>
      </c>
      <c r="G728">
        <v>1.2</v>
      </c>
      <c r="H728">
        <v>1.2</v>
      </c>
      <c r="I728" t="s">
        <v>32</v>
      </c>
      <c r="J728" t="s">
        <v>78</v>
      </c>
      <c r="K728" t="s">
        <v>131</v>
      </c>
      <c r="L728" t="s">
        <v>183</v>
      </c>
      <c r="M728" t="s">
        <v>109</v>
      </c>
      <c r="N728" t="s">
        <v>1669</v>
      </c>
      <c r="O728">
        <v>1</v>
      </c>
      <c r="P728">
        <v>0</v>
      </c>
      <c r="Q728">
        <v>0</v>
      </c>
      <c r="R728" s="1">
        <v>46195.677835648145</v>
      </c>
      <c r="S728" s="1">
        <v>46205.872361111113</v>
      </c>
    </row>
    <row r="729" spans="1:19" x14ac:dyDescent="0.25">
      <c r="A729">
        <v>2010109500</v>
      </c>
      <c r="B729" t="s">
        <v>28</v>
      </c>
      <c r="C729" t="s">
        <v>29</v>
      </c>
      <c r="D729" t="s">
        <v>1709</v>
      </c>
      <c r="E729" t="s">
        <v>1710</v>
      </c>
      <c r="F729" t="e">
        <f>--ds-btn-disabled-info-bg</f>
        <v>#NAME?</v>
      </c>
      <c r="G729" t="s">
        <v>530</v>
      </c>
      <c r="H729" t="s">
        <v>530</v>
      </c>
      <c r="I729" t="s">
        <v>32</v>
      </c>
      <c r="J729" t="s">
        <v>24</v>
      </c>
      <c r="K729" t="s">
        <v>131</v>
      </c>
      <c r="L729" t="s">
        <v>205</v>
      </c>
      <c r="M729" t="s">
        <v>26</v>
      </c>
      <c r="N729" t="s">
        <v>1711</v>
      </c>
      <c r="O729">
        <v>1</v>
      </c>
      <c r="P729">
        <v>1</v>
      </c>
      <c r="Q729">
        <v>0</v>
      </c>
      <c r="R729" s="1">
        <v>46195.678240740737</v>
      </c>
      <c r="S729" s="1">
        <v>46205.872361111113</v>
      </c>
    </row>
    <row r="730" spans="1:19" x14ac:dyDescent="0.25">
      <c r="A730">
        <v>2010109501</v>
      </c>
      <c r="B730" t="s">
        <v>28</v>
      </c>
      <c r="C730" t="s">
        <v>29</v>
      </c>
      <c r="D730" t="s">
        <v>1712</v>
      </c>
      <c r="E730" t="s">
        <v>1713</v>
      </c>
      <c r="F730" t="e">
        <f>--ds-btn-disabled-info-text</f>
        <v>#NAME?</v>
      </c>
      <c r="G730" t="s">
        <v>60</v>
      </c>
      <c r="H730" t="s">
        <v>60</v>
      </c>
      <c r="I730" t="s">
        <v>32</v>
      </c>
      <c r="J730" t="s">
        <v>24</v>
      </c>
      <c r="K730" t="s">
        <v>131</v>
      </c>
      <c r="L730" t="s">
        <v>205</v>
      </c>
      <c r="M730" t="s">
        <v>38</v>
      </c>
      <c r="N730" t="s">
        <v>1711</v>
      </c>
      <c r="O730">
        <v>1</v>
      </c>
      <c r="P730">
        <v>1</v>
      </c>
      <c r="Q730">
        <v>0</v>
      </c>
      <c r="R730" s="1">
        <v>46195.678240740737</v>
      </c>
      <c r="S730" s="1">
        <v>46205.872361111113</v>
      </c>
    </row>
    <row r="731" spans="1:19" x14ac:dyDescent="0.25">
      <c r="A731">
        <v>2010109502</v>
      </c>
      <c r="B731" t="s">
        <v>28</v>
      </c>
      <c r="C731" t="s">
        <v>29</v>
      </c>
      <c r="D731" t="s">
        <v>1714</v>
      </c>
      <c r="E731" t="s">
        <v>1715</v>
      </c>
      <c r="F731" t="e">
        <f>--ds-btn-disabled-info-border</f>
        <v>#NAME?</v>
      </c>
      <c r="G731" t="s">
        <v>539</v>
      </c>
      <c r="H731" t="s">
        <v>539</v>
      </c>
      <c r="I731" t="s">
        <v>32</v>
      </c>
      <c r="J731" t="s">
        <v>24</v>
      </c>
      <c r="K731" t="s">
        <v>131</v>
      </c>
      <c r="L731" t="s">
        <v>205</v>
      </c>
      <c r="M731" t="s">
        <v>42</v>
      </c>
      <c r="N731" t="s">
        <v>1711</v>
      </c>
      <c r="O731">
        <v>1</v>
      </c>
      <c r="P731">
        <v>1</v>
      </c>
      <c r="Q731">
        <v>0</v>
      </c>
      <c r="R731" s="1">
        <v>46195.678240740737</v>
      </c>
      <c r="S731" s="1">
        <v>46205.872361111113</v>
      </c>
    </row>
    <row r="732" spans="1:19" x14ac:dyDescent="0.25">
      <c r="A732">
        <v>2010109503</v>
      </c>
      <c r="B732" t="s">
        <v>28</v>
      </c>
      <c r="C732" t="s">
        <v>29</v>
      </c>
      <c r="D732" t="s">
        <v>1716</v>
      </c>
      <c r="E732" t="s">
        <v>1717</v>
      </c>
      <c r="F732" t="e">
        <f>--ds-btn-disabled-info-hover-bg</f>
        <v>#NAME?</v>
      </c>
      <c r="G732" t="s">
        <v>530</v>
      </c>
      <c r="H732" t="s">
        <v>530</v>
      </c>
      <c r="I732" t="s">
        <v>32</v>
      </c>
      <c r="J732" t="s">
        <v>24</v>
      </c>
      <c r="K732" t="s">
        <v>131</v>
      </c>
      <c r="L732" t="s">
        <v>205</v>
      </c>
      <c r="M732" t="s">
        <v>46</v>
      </c>
      <c r="N732" t="s">
        <v>1711</v>
      </c>
      <c r="O732">
        <v>1</v>
      </c>
      <c r="P732">
        <v>1</v>
      </c>
      <c r="Q732">
        <v>0</v>
      </c>
      <c r="R732" s="1">
        <v>46195.678240740737</v>
      </c>
      <c r="S732" s="1">
        <v>46205.872361111113</v>
      </c>
    </row>
    <row r="733" spans="1:19" x14ac:dyDescent="0.25">
      <c r="A733">
        <v>2010109504</v>
      </c>
      <c r="B733" t="s">
        <v>28</v>
      </c>
      <c r="C733" t="s">
        <v>29</v>
      </c>
      <c r="D733" t="s">
        <v>1718</v>
      </c>
      <c r="E733" t="s">
        <v>1719</v>
      </c>
      <c r="F733" t="e">
        <f>--ds-btn-disabled-info-hover-text</f>
        <v>#NAME?</v>
      </c>
      <c r="G733" t="s">
        <v>60</v>
      </c>
      <c r="H733" t="s">
        <v>60</v>
      </c>
      <c r="I733" t="s">
        <v>32</v>
      </c>
      <c r="J733" t="s">
        <v>24</v>
      </c>
      <c r="K733" t="s">
        <v>131</v>
      </c>
      <c r="L733" t="s">
        <v>205</v>
      </c>
      <c r="M733" t="s">
        <v>49</v>
      </c>
      <c r="N733" t="s">
        <v>1711</v>
      </c>
      <c r="O733">
        <v>1</v>
      </c>
      <c r="P733">
        <v>1</v>
      </c>
      <c r="Q733">
        <v>0</v>
      </c>
      <c r="R733" s="1">
        <v>46195.678240740737</v>
      </c>
      <c r="S733" s="1">
        <v>46205.872361111113</v>
      </c>
    </row>
    <row r="734" spans="1:19" x14ac:dyDescent="0.25">
      <c r="A734">
        <v>2010109505</v>
      </c>
      <c r="B734" t="s">
        <v>28</v>
      </c>
      <c r="C734" t="s">
        <v>29</v>
      </c>
      <c r="D734" t="s">
        <v>1720</v>
      </c>
      <c r="E734" t="s">
        <v>1721</v>
      </c>
      <c r="F734" t="e">
        <f>--ds-btn-disabled-info-hover-border</f>
        <v>#NAME?</v>
      </c>
      <c r="G734" t="s">
        <v>539</v>
      </c>
      <c r="H734" t="s">
        <v>539</v>
      </c>
      <c r="I734" t="s">
        <v>32</v>
      </c>
      <c r="J734" t="s">
        <v>24</v>
      </c>
      <c r="K734" t="s">
        <v>131</v>
      </c>
      <c r="L734" t="s">
        <v>205</v>
      </c>
      <c r="M734" t="s">
        <v>53</v>
      </c>
      <c r="N734" t="s">
        <v>1711</v>
      </c>
      <c r="O734">
        <v>1</v>
      </c>
      <c r="P734">
        <v>1</v>
      </c>
      <c r="Q734">
        <v>0</v>
      </c>
      <c r="R734" s="1">
        <v>46195.678240740737</v>
      </c>
      <c r="S734" s="1">
        <v>46205.872361111113</v>
      </c>
    </row>
    <row r="735" spans="1:19" x14ac:dyDescent="0.25">
      <c r="A735">
        <v>2010109506</v>
      </c>
      <c r="B735" t="s">
        <v>28</v>
      </c>
      <c r="C735" t="s">
        <v>29</v>
      </c>
      <c r="D735" t="s">
        <v>1722</v>
      </c>
      <c r="E735" t="s">
        <v>1723</v>
      </c>
      <c r="F735" t="e">
        <f>--ds-btn-disabled-info-disabled-bg</f>
        <v>#NAME?</v>
      </c>
      <c r="G735" t="s">
        <v>530</v>
      </c>
      <c r="H735" t="s">
        <v>530</v>
      </c>
      <c r="I735" t="s">
        <v>32</v>
      </c>
      <c r="J735" t="s">
        <v>24</v>
      </c>
      <c r="K735" t="s">
        <v>131</v>
      </c>
      <c r="L735" t="s">
        <v>205</v>
      </c>
      <c r="M735" t="s">
        <v>57</v>
      </c>
      <c r="N735" t="s">
        <v>1711</v>
      </c>
      <c r="O735">
        <v>1</v>
      </c>
      <c r="P735">
        <v>1</v>
      </c>
      <c r="Q735">
        <v>0</v>
      </c>
      <c r="R735" s="1">
        <v>46195.678240740737</v>
      </c>
      <c r="S735" s="1">
        <v>46205.872361111113</v>
      </c>
    </row>
    <row r="736" spans="1:19" x14ac:dyDescent="0.25">
      <c r="A736">
        <v>2010109507</v>
      </c>
      <c r="B736" t="s">
        <v>28</v>
      </c>
      <c r="C736" t="s">
        <v>29</v>
      </c>
      <c r="D736" t="s">
        <v>1724</v>
      </c>
      <c r="E736" t="s">
        <v>1725</v>
      </c>
      <c r="F736" t="e">
        <f>--ds-btn-disabled-info-disabled-text</f>
        <v>#NAME?</v>
      </c>
      <c r="G736" t="s">
        <v>60</v>
      </c>
      <c r="H736" t="s">
        <v>60</v>
      </c>
      <c r="I736" t="s">
        <v>32</v>
      </c>
      <c r="J736" t="s">
        <v>24</v>
      </c>
      <c r="K736" t="s">
        <v>131</v>
      </c>
      <c r="L736" t="s">
        <v>205</v>
      </c>
      <c r="M736" t="s">
        <v>61</v>
      </c>
      <c r="N736" t="s">
        <v>1711</v>
      </c>
      <c r="O736">
        <v>1</v>
      </c>
      <c r="P736">
        <v>1</v>
      </c>
      <c r="Q736">
        <v>0</v>
      </c>
      <c r="R736" s="1">
        <v>46195.678240740737</v>
      </c>
      <c r="S736" s="1">
        <v>46205.872361111113</v>
      </c>
    </row>
    <row r="737" spans="1:19" x14ac:dyDescent="0.25">
      <c r="A737">
        <v>2010109508</v>
      </c>
      <c r="B737" t="s">
        <v>28</v>
      </c>
      <c r="C737" t="s">
        <v>29</v>
      </c>
      <c r="D737" t="s">
        <v>1726</v>
      </c>
      <c r="E737" t="s">
        <v>1727</v>
      </c>
      <c r="F737" t="e">
        <f>--ds-btn-disabled-info-disabled-border</f>
        <v>#NAME?</v>
      </c>
      <c r="G737" t="s">
        <v>539</v>
      </c>
      <c r="H737" t="s">
        <v>539</v>
      </c>
      <c r="I737" t="s">
        <v>32</v>
      </c>
      <c r="J737" t="s">
        <v>24</v>
      </c>
      <c r="K737" t="s">
        <v>131</v>
      </c>
      <c r="L737" t="s">
        <v>205</v>
      </c>
      <c r="M737" t="s">
        <v>65</v>
      </c>
      <c r="N737" t="s">
        <v>1711</v>
      </c>
      <c r="O737">
        <v>1</v>
      </c>
      <c r="P737">
        <v>1</v>
      </c>
      <c r="Q737">
        <v>0</v>
      </c>
      <c r="R737" s="1">
        <v>46195.678240740737</v>
      </c>
      <c r="S737" s="1">
        <v>46205.872361111113</v>
      </c>
    </row>
    <row r="738" spans="1:19" x14ac:dyDescent="0.25">
      <c r="A738">
        <v>2010109509</v>
      </c>
      <c r="B738" t="s">
        <v>28</v>
      </c>
      <c r="C738" t="s">
        <v>29</v>
      </c>
      <c r="D738" t="s">
        <v>1728</v>
      </c>
      <c r="E738" t="s">
        <v>1729</v>
      </c>
      <c r="F738" t="e">
        <f>--ds-btn-disabled-info-shadow</f>
        <v>#NAME?</v>
      </c>
      <c r="G738" t="s">
        <v>68</v>
      </c>
      <c r="H738" t="s">
        <v>68</v>
      </c>
      <c r="I738" t="s">
        <v>32</v>
      </c>
      <c r="J738" t="s">
        <v>69</v>
      </c>
      <c r="K738" t="s">
        <v>131</v>
      </c>
      <c r="L738" t="s">
        <v>205</v>
      </c>
      <c r="M738" t="s">
        <v>70</v>
      </c>
      <c r="N738" t="s">
        <v>1711</v>
      </c>
      <c r="O738">
        <v>1</v>
      </c>
      <c r="P738">
        <v>0</v>
      </c>
      <c r="Q738">
        <v>0</v>
      </c>
      <c r="R738" s="1">
        <v>46195.678240740737</v>
      </c>
      <c r="S738" s="1">
        <v>46205.872361111113</v>
      </c>
    </row>
    <row r="739" spans="1:19" x14ac:dyDescent="0.25">
      <c r="A739">
        <v>2010109510</v>
      </c>
      <c r="B739" t="s">
        <v>28</v>
      </c>
      <c r="C739" t="s">
        <v>29</v>
      </c>
      <c r="D739" t="s">
        <v>1730</v>
      </c>
      <c r="E739" t="s">
        <v>1731</v>
      </c>
      <c r="F739" t="e">
        <f>--ds-btn-disabled-info-radius</f>
        <v>#NAME?</v>
      </c>
      <c r="G739" t="s">
        <v>73</v>
      </c>
      <c r="H739" t="s">
        <v>73</v>
      </c>
      <c r="I739" t="s">
        <v>32</v>
      </c>
      <c r="J739" t="s">
        <v>69</v>
      </c>
      <c r="K739" t="s">
        <v>131</v>
      </c>
      <c r="L739" t="s">
        <v>205</v>
      </c>
      <c r="M739" t="s">
        <v>74</v>
      </c>
      <c r="N739" t="s">
        <v>1711</v>
      </c>
      <c r="O739">
        <v>1</v>
      </c>
      <c r="P739">
        <v>0</v>
      </c>
      <c r="Q739">
        <v>0</v>
      </c>
      <c r="R739" s="1">
        <v>46195.678240740737</v>
      </c>
      <c r="S739" s="1">
        <v>46205.872361111113</v>
      </c>
    </row>
    <row r="740" spans="1:19" x14ac:dyDescent="0.25">
      <c r="A740">
        <v>2010109511</v>
      </c>
      <c r="B740" t="s">
        <v>28</v>
      </c>
      <c r="C740" t="s">
        <v>29</v>
      </c>
      <c r="D740" t="s">
        <v>1732</v>
      </c>
      <c r="E740" t="s">
        <v>1733</v>
      </c>
      <c r="F740" t="e">
        <f>--ds-btn-disabled-info-padding-x</f>
        <v>#NAME?</v>
      </c>
      <c r="G740" t="s">
        <v>77</v>
      </c>
      <c r="H740" t="s">
        <v>77</v>
      </c>
      <c r="I740" t="s">
        <v>32</v>
      </c>
      <c r="J740" t="s">
        <v>78</v>
      </c>
      <c r="K740" t="s">
        <v>131</v>
      </c>
      <c r="L740" t="s">
        <v>205</v>
      </c>
      <c r="M740" t="s">
        <v>79</v>
      </c>
      <c r="N740" t="s">
        <v>1711</v>
      </c>
      <c r="O740">
        <v>1</v>
      </c>
      <c r="P740">
        <v>0</v>
      </c>
      <c r="Q740">
        <v>0</v>
      </c>
      <c r="R740" s="1">
        <v>46195.678240740737</v>
      </c>
      <c r="S740" s="1">
        <v>46205.872361111113</v>
      </c>
    </row>
    <row r="741" spans="1:19" x14ac:dyDescent="0.25">
      <c r="A741">
        <v>2010109512</v>
      </c>
      <c r="B741" t="s">
        <v>28</v>
      </c>
      <c r="C741" t="s">
        <v>29</v>
      </c>
      <c r="D741" t="s">
        <v>1734</v>
      </c>
      <c r="E741" t="s">
        <v>1735</v>
      </c>
      <c r="F741" t="e">
        <f>--ds-btn-disabled-info-padding-y</f>
        <v>#NAME?</v>
      </c>
      <c r="G741" t="s">
        <v>82</v>
      </c>
      <c r="H741" t="s">
        <v>82</v>
      </c>
      <c r="I741" t="s">
        <v>32</v>
      </c>
      <c r="J741" t="s">
        <v>78</v>
      </c>
      <c r="K741" t="s">
        <v>131</v>
      </c>
      <c r="L741" t="s">
        <v>205</v>
      </c>
      <c r="M741" t="s">
        <v>83</v>
      </c>
      <c r="N741" t="s">
        <v>1711</v>
      </c>
      <c r="O741">
        <v>1</v>
      </c>
      <c r="P741">
        <v>0</v>
      </c>
      <c r="Q741">
        <v>0</v>
      </c>
      <c r="R741" s="1">
        <v>46195.678240740737</v>
      </c>
      <c r="S741" s="1">
        <v>46205.872361111113</v>
      </c>
    </row>
    <row r="742" spans="1:19" x14ac:dyDescent="0.25">
      <c r="A742">
        <v>2010109513</v>
      </c>
      <c r="B742" t="s">
        <v>28</v>
      </c>
      <c r="C742" t="s">
        <v>29</v>
      </c>
      <c r="D742" t="s">
        <v>1736</v>
      </c>
      <c r="E742" t="s">
        <v>1737</v>
      </c>
      <c r="F742" t="e">
        <f>--ds-btn-disabled-info-gap</f>
        <v>#NAME?</v>
      </c>
      <c r="G742" t="s">
        <v>86</v>
      </c>
      <c r="H742" t="s">
        <v>86</v>
      </c>
      <c r="I742" t="s">
        <v>32</v>
      </c>
      <c r="J742" t="s">
        <v>78</v>
      </c>
      <c r="K742" t="s">
        <v>131</v>
      </c>
      <c r="L742" t="s">
        <v>205</v>
      </c>
      <c r="M742" t="s">
        <v>87</v>
      </c>
      <c r="N742" t="s">
        <v>1711</v>
      </c>
      <c r="O742">
        <v>1</v>
      </c>
      <c r="P742">
        <v>0</v>
      </c>
      <c r="Q742">
        <v>0</v>
      </c>
      <c r="R742" s="1">
        <v>46195.678240740737</v>
      </c>
      <c r="S742" s="1">
        <v>46205.872361111113</v>
      </c>
    </row>
    <row r="743" spans="1:19" x14ac:dyDescent="0.25">
      <c r="A743">
        <v>2010109514</v>
      </c>
      <c r="B743" t="s">
        <v>28</v>
      </c>
      <c r="C743" t="s">
        <v>29</v>
      </c>
      <c r="D743" t="s">
        <v>1738</v>
      </c>
      <c r="E743" t="s">
        <v>1739</v>
      </c>
      <c r="F743" t="e">
        <f>--ds-btn-disabled-info-focus-ring</f>
        <v>#NAME?</v>
      </c>
      <c r="G743" t="s">
        <v>1740</v>
      </c>
      <c r="H743" t="s">
        <v>1740</v>
      </c>
      <c r="I743" t="s">
        <v>32</v>
      </c>
      <c r="J743" t="s">
        <v>69</v>
      </c>
      <c r="K743" t="s">
        <v>131</v>
      </c>
      <c r="L743" t="s">
        <v>205</v>
      </c>
      <c r="M743" t="s">
        <v>91</v>
      </c>
      <c r="N743" t="s">
        <v>1711</v>
      </c>
      <c r="O743">
        <v>1</v>
      </c>
      <c r="P743">
        <v>0</v>
      </c>
      <c r="Q743">
        <v>0</v>
      </c>
      <c r="R743" s="1">
        <v>46195.678240740737</v>
      </c>
      <c r="S743" s="1">
        <v>46205.872361111113</v>
      </c>
    </row>
    <row r="744" spans="1:19" x14ac:dyDescent="0.25">
      <c r="A744">
        <v>2010109515</v>
      </c>
      <c r="B744" t="s">
        <v>28</v>
      </c>
      <c r="C744" t="s">
        <v>29</v>
      </c>
      <c r="D744" t="s">
        <v>1741</v>
      </c>
      <c r="E744" t="s">
        <v>1742</v>
      </c>
      <c r="F744" t="e">
        <f>--ds-btn-disabled-info-outline</f>
        <v>#NAME?</v>
      </c>
      <c r="G744" t="s">
        <v>94</v>
      </c>
      <c r="H744" t="s">
        <v>94</v>
      </c>
      <c r="I744" t="s">
        <v>32</v>
      </c>
      <c r="J744" t="s">
        <v>69</v>
      </c>
      <c r="K744" t="s">
        <v>131</v>
      </c>
      <c r="L744" t="s">
        <v>205</v>
      </c>
      <c r="M744" t="s">
        <v>95</v>
      </c>
      <c r="N744" t="s">
        <v>1711</v>
      </c>
      <c r="O744">
        <v>1</v>
      </c>
      <c r="P744">
        <v>0</v>
      </c>
      <c r="Q744">
        <v>0</v>
      </c>
      <c r="R744" s="1">
        <v>46195.678240740737</v>
      </c>
      <c r="S744" s="1">
        <v>46205.872361111113</v>
      </c>
    </row>
    <row r="745" spans="1:19" x14ac:dyDescent="0.25">
      <c r="A745">
        <v>2010109516</v>
      </c>
      <c r="B745" t="s">
        <v>28</v>
      </c>
      <c r="C745" t="s">
        <v>29</v>
      </c>
      <c r="D745" t="s">
        <v>1743</v>
      </c>
      <c r="E745" t="s">
        <v>1744</v>
      </c>
      <c r="F745" t="e">
        <f>--ds-btn-disabled-info-transition</f>
        <v>#NAME?</v>
      </c>
      <c r="G745" t="s">
        <v>98</v>
      </c>
      <c r="H745" t="s">
        <v>98</v>
      </c>
      <c r="I745" t="s">
        <v>32</v>
      </c>
      <c r="J745" t="s">
        <v>69</v>
      </c>
      <c r="K745" t="s">
        <v>131</v>
      </c>
      <c r="L745" t="s">
        <v>205</v>
      </c>
      <c r="M745" t="s">
        <v>99</v>
      </c>
      <c r="N745" t="s">
        <v>1711</v>
      </c>
      <c r="O745">
        <v>1</v>
      </c>
      <c r="P745">
        <v>0</v>
      </c>
      <c r="Q745">
        <v>0</v>
      </c>
      <c r="R745" s="1">
        <v>46195.678240740737</v>
      </c>
      <c r="S745" s="1">
        <v>46205.872361111113</v>
      </c>
    </row>
    <row r="746" spans="1:19" x14ac:dyDescent="0.25">
      <c r="A746">
        <v>2010109517</v>
      </c>
      <c r="B746" t="s">
        <v>28</v>
      </c>
      <c r="C746" t="s">
        <v>29</v>
      </c>
      <c r="D746" t="s">
        <v>1745</v>
      </c>
      <c r="E746" t="s">
        <v>1746</v>
      </c>
      <c r="F746" t="e">
        <f>--ds-btn-disabled-info-icon-color</f>
        <v>#NAME?</v>
      </c>
      <c r="G746" t="s">
        <v>60</v>
      </c>
      <c r="H746" t="s">
        <v>60</v>
      </c>
      <c r="I746" t="s">
        <v>32</v>
      </c>
      <c r="J746" t="s">
        <v>24</v>
      </c>
      <c r="K746" t="s">
        <v>131</v>
      </c>
      <c r="L746" t="s">
        <v>205</v>
      </c>
      <c r="M746" t="s">
        <v>102</v>
      </c>
      <c r="N746" t="s">
        <v>1711</v>
      </c>
      <c r="O746">
        <v>1</v>
      </c>
      <c r="P746">
        <v>0</v>
      </c>
      <c r="Q746">
        <v>0</v>
      </c>
      <c r="R746" s="1">
        <v>46195.678240740737</v>
      </c>
      <c r="S746" s="1">
        <v>46205.872361111113</v>
      </c>
    </row>
    <row r="747" spans="1:19" x14ac:dyDescent="0.25">
      <c r="A747">
        <v>2010109518</v>
      </c>
      <c r="B747" t="s">
        <v>28</v>
      </c>
      <c r="C747" t="s">
        <v>29</v>
      </c>
      <c r="D747" t="s">
        <v>1747</v>
      </c>
      <c r="E747" t="s">
        <v>1748</v>
      </c>
      <c r="F747" t="e">
        <f>--ds-btn-disabled-info-icon-size</f>
        <v>#NAME?</v>
      </c>
      <c r="G747" t="s">
        <v>105</v>
      </c>
      <c r="H747" t="s">
        <v>105</v>
      </c>
      <c r="I747" t="s">
        <v>32</v>
      </c>
      <c r="J747" t="s">
        <v>78</v>
      </c>
      <c r="K747" t="s">
        <v>131</v>
      </c>
      <c r="L747" t="s">
        <v>205</v>
      </c>
      <c r="M747" t="s">
        <v>106</v>
      </c>
      <c r="N747" t="s">
        <v>1711</v>
      </c>
      <c r="O747">
        <v>1</v>
      </c>
      <c r="P747">
        <v>0</v>
      </c>
      <c r="Q747">
        <v>0</v>
      </c>
      <c r="R747" s="1">
        <v>46195.678240740737</v>
      </c>
      <c r="S747" s="1">
        <v>46205.872361111113</v>
      </c>
    </row>
    <row r="748" spans="1:19" x14ac:dyDescent="0.25">
      <c r="A748">
        <v>2010109519</v>
      </c>
      <c r="B748" t="s">
        <v>28</v>
      </c>
      <c r="C748" t="s">
        <v>29</v>
      </c>
      <c r="D748" t="s">
        <v>1749</v>
      </c>
      <c r="E748" t="s">
        <v>1750</v>
      </c>
      <c r="F748" t="e">
        <f>--ds-btn-disabled-info-line-height</f>
        <v>#NAME?</v>
      </c>
      <c r="G748">
        <v>1.2</v>
      </c>
      <c r="H748">
        <v>1.2</v>
      </c>
      <c r="I748" t="s">
        <v>32</v>
      </c>
      <c r="J748" t="s">
        <v>78</v>
      </c>
      <c r="K748" t="s">
        <v>131</v>
      </c>
      <c r="L748" t="s">
        <v>205</v>
      </c>
      <c r="M748" t="s">
        <v>109</v>
      </c>
      <c r="N748" t="s">
        <v>1711</v>
      </c>
      <c r="O748">
        <v>1</v>
      </c>
      <c r="P748">
        <v>0</v>
      </c>
      <c r="Q748">
        <v>0</v>
      </c>
      <c r="R748" s="1">
        <v>46195.678240740737</v>
      </c>
      <c r="S748" s="1">
        <v>46205.872361111113</v>
      </c>
    </row>
    <row r="749" spans="1:19" x14ac:dyDescent="0.25">
      <c r="A749">
        <v>2010109600</v>
      </c>
      <c r="B749" t="s">
        <v>28</v>
      </c>
      <c r="C749" t="s">
        <v>29</v>
      </c>
      <c r="D749" t="s">
        <v>1751</v>
      </c>
      <c r="E749" t="s">
        <v>1752</v>
      </c>
      <c r="F749" t="e">
        <f>--ds-btn-disabled-light-bg</f>
        <v>#NAME?</v>
      </c>
      <c r="G749" t="s">
        <v>1427</v>
      </c>
      <c r="H749" t="s">
        <v>1427</v>
      </c>
      <c r="I749" t="s">
        <v>32</v>
      </c>
      <c r="J749" t="s">
        <v>24</v>
      </c>
      <c r="K749" t="s">
        <v>131</v>
      </c>
      <c r="L749" t="s">
        <v>226</v>
      </c>
      <c r="M749" t="s">
        <v>26</v>
      </c>
      <c r="N749" t="s">
        <v>1753</v>
      </c>
      <c r="O749">
        <v>1</v>
      </c>
      <c r="P749">
        <v>1</v>
      </c>
      <c r="Q749">
        <v>0</v>
      </c>
      <c r="R749" s="1">
        <v>46195.67863425926</v>
      </c>
      <c r="S749" s="1">
        <v>46205.872361111113</v>
      </c>
    </row>
    <row r="750" spans="1:19" x14ac:dyDescent="0.25">
      <c r="A750">
        <v>2010109601</v>
      </c>
      <c r="B750" t="s">
        <v>28</v>
      </c>
      <c r="C750" t="s">
        <v>29</v>
      </c>
      <c r="D750" t="s">
        <v>1754</v>
      </c>
      <c r="E750" t="s">
        <v>1755</v>
      </c>
      <c r="F750" t="e">
        <f>--ds-btn-disabled-light-text</f>
        <v>#NAME?</v>
      </c>
      <c r="G750" t="s">
        <v>60</v>
      </c>
      <c r="H750" t="s">
        <v>60</v>
      </c>
      <c r="I750" t="s">
        <v>32</v>
      </c>
      <c r="J750" t="s">
        <v>24</v>
      </c>
      <c r="K750" t="s">
        <v>131</v>
      </c>
      <c r="L750" t="s">
        <v>226</v>
      </c>
      <c r="M750" t="s">
        <v>38</v>
      </c>
      <c r="N750" t="s">
        <v>1753</v>
      </c>
      <c r="O750">
        <v>1</v>
      </c>
      <c r="P750">
        <v>1</v>
      </c>
      <c r="Q750">
        <v>0</v>
      </c>
      <c r="R750" s="1">
        <v>46195.67863425926</v>
      </c>
      <c r="S750" s="1">
        <v>46205.872361111113</v>
      </c>
    </row>
    <row r="751" spans="1:19" x14ac:dyDescent="0.25">
      <c r="A751">
        <v>2010109602</v>
      </c>
      <c r="B751" t="s">
        <v>28</v>
      </c>
      <c r="C751" t="s">
        <v>29</v>
      </c>
      <c r="D751" t="s">
        <v>1756</v>
      </c>
      <c r="E751" t="s">
        <v>1757</v>
      </c>
      <c r="F751" t="e">
        <f>--ds-btn-disabled-light-border</f>
        <v>#NAME?</v>
      </c>
      <c r="G751" t="s">
        <v>120</v>
      </c>
      <c r="H751" t="s">
        <v>120</v>
      </c>
      <c r="I751" t="s">
        <v>32</v>
      </c>
      <c r="J751" t="s">
        <v>24</v>
      </c>
      <c r="K751" t="s">
        <v>131</v>
      </c>
      <c r="L751" t="s">
        <v>226</v>
      </c>
      <c r="M751" t="s">
        <v>42</v>
      </c>
      <c r="N751" t="s">
        <v>1753</v>
      </c>
      <c r="O751">
        <v>1</v>
      </c>
      <c r="P751">
        <v>1</v>
      </c>
      <c r="Q751">
        <v>0</v>
      </c>
      <c r="R751" s="1">
        <v>46195.67863425926</v>
      </c>
      <c r="S751" s="1">
        <v>46205.872361111113</v>
      </c>
    </row>
    <row r="752" spans="1:19" x14ac:dyDescent="0.25">
      <c r="A752">
        <v>2010109603</v>
      </c>
      <c r="B752" t="s">
        <v>28</v>
      </c>
      <c r="C752" t="s">
        <v>29</v>
      </c>
      <c r="D752" t="s">
        <v>1758</v>
      </c>
      <c r="E752" t="s">
        <v>1759</v>
      </c>
      <c r="F752" t="e">
        <f>--ds-btn-disabled-light-hover-bg</f>
        <v>#NAME?</v>
      </c>
      <c r="G752" t="s">
        <v>1427</v>
      </c>
      <c r="H752" t="s">
        <v>1427</v>
      </c>
      <c r="I752" t="s">
        <v>32</v>
      </c>
      <c r="J752" t="s">
        <v>24</v>
      </c>
      <c r="K752" t="s">
        <v>131</v>
      </c>
      <c r="L752" t="s">
        <v>226</v>
      </c>
      <c r="M752" t="s">
        <v>46</v>
      </c>
      <c r="N752" t="s">
        <v>1753</v>
      </c>
      <c r="O752">
        <v>1</v>
      </c>
      <c r="P752">
        <v>1</v>
      </c>
      <c r="Q752">
        <v>0</v>
      </c>
      <c r="R752" s="1">
        <v>46195.67863425926</v>
      </c>
      <c r="S752" s="1">
        <v>46205.872361111113</v>
      </c>
    </row>
    <row r="753" spans="1:19" x14ac:dyDescent="0.25">
      <c r="A753">
        <v>2010109604</v>
      </c>
      <c r="B753" t="s">
        <v>28</v>
      </c>
      <c r="C753" t="s">
        <v>29</v>
      </c>
      <c r="D753" t="s">
        <v>1760</v>
      </c>
      <c r="E753" t="s">
        <v>1761</v>
      </c>
      <c r="F753" t="e">
        <f>--ds-btn-disabled-light-hover-text</f>
        <v>#NAME?</v>
      </c>
      <c r="G753" t="s">
        <v>60</v>
      </c>
      <c r="H753" t="s">
        <v>60</v>
      </c>
      <c r="I753" t="s">
        <v>32</v>
      </c>
      <c r="J753" t="s">
        <v>24</v>
      </c>
      <c r="K753" t="s">
        <v>131</v>
      </c>
      <c r="L753" t="s">
        <v>226</v>
      </c>
      <c r="M753" t="s">
        <v>49</v>
      </c>
      <c r="N753" t="s">
        <v>1753</v>
      </c>
      <c r="O753">
        <v>1</v>
      </c>
      <c r="P753">
        <v>1</v>
      </c>
      <c r="Q753">
        <v>0</v>
      </c>
      <c r="R753" s="1">
        <v>46195.67863425926</v>
      </c>
      <c r="S753" s="1">
        <v>46205.872361111113</v>
      </c>
    </row>
    <row r="754" spans="1:19" x14ac:dyDescent="0.25">
      <c r="A754">
        <v>2010109605</v>
      </c>
      <c r="B754" t="s">
        <v>28</v>
      </c>
      <c r="C754" t="s">
        <v>29</v>
      </c>
      <c r="D754" t="s">
        <v>1762</v>
      </c>
      <c r="E754" t="s">
        <v>1763</v>
      </c>
      <c r="F754" t="e">
        <f>--ds-btn-disabled-light-hover-border</f>
        <v>#NAME?</v>
      </c>
      <c r="G754" t="s">
        <v>120</v>
      </c>
      <c r="H754" t="s">
        <v>120</v>
      </c>
      <c r="I754" t="s">
        <v>32</v>
      </c>
      <c r="J754" t="s">
        <v>24</v>
      </c>
      <c r="K754" t="s">
        <v>131</v>
      </c>
      <c r="L754" t="s">
        <v>226</v>
      </c>
      <c r="M754" t="s">
        <v>53</v>
      </c>
      <c r="N754" t="s">
        <v>1753</v>
      </c>
      <c r="O754">
        <v>1</v>
      </c>
      <c r="P754">
        <v>1</v>
      </c>
      <c r="Q754">
        <v>0</v>
      </c>
      <c r="R754" s="1">
        <v>46195.67863425926</v>
      </c>
      <c r="S754" s="1">
        <v>46205.872361111113</v>
      </c>
    </row>
    <row r="755" spans="1:19" x14ac:dyDescent="0.25">
      <c r="A755">
        <v>2010109606</v>
      </c>
      <c r="B755" t="s">
        <v>28</v>
      </c>
      <c r="C755" t="s">
        <v>29</v>
      </c>
      <c r="D755" t="s">
        <v>1764</v>
      </c>
      <c r="E755" t="s">
        <v>1765</v>
      </c>
      <c r="F755" t="e">
        <f>--ds-btn-disabled-light-disabled-bg</f>
        <v>#NAME?</v>
      </c>
      <c r="G755" t="s">
        <v>1427</v>
      </c>
      <c r="H755" t="s">
        <v>1427</v>
      </c>
      <c r="I755" t="s">
        <v>32</v>
      </c>
      <c r="J755" t="s">
        <v>24</v>
      </c>
      <c r="K755" t="s">
        <v>131</v>
      </c>
      <c r="L755" t="s">
        <v>226</v>
      </c>
      <c r="M755" t="s">
        <v>57</v>
      </c>
      <c r="N755" t="s">
        <v>1753</v>
      </c>
      <c r="O755">
        <v>1</v>
      </c>
      <c r="P755">
        <v>1</v>
      </c>
      <c r="Q755">
        <v>0</v>
      </c>
      <c r="R755" s="1">
        <v>46195.67863425926</v>
      </c>
      <c r="S755" s="1">
        <v>46205.872361111113</v>
      </c>
    </row>
    <row r="756" spans="1:19" x14ac:dyDescent="0.25">
      <c r="A756">
        <v>2010109607</v>
      </c>
      <c r="B756" t="s">
        <v>28</v>
      </c>
      <c r="C756" t="s">
        <v>29</v>
      </c>
      <c r="D756" t="s">
        <v>1766</v>
      </c>
      <c r="E756" t="s">
        <v>1767</v>
      </c>
      <c r="F756" t="e">
        <f>--ds-btn-disabled-light-disabled-text</f>
        <v>#NAME?</v>
      </c>
      <c r="G756" t="s">
        <v>60</v>
      </c>
      <c r="H756" t="s">
        <v>60</v>
      </c>
      <c r="I756" t="s">
        <v>32</v>
      </c>
      <c r="J756" t="s">
        <v>24</v>
      </c>
      <c r="K756" t="s">
        <v>131</v>
      </c>
      <c r="L756" t="s">
        <v>226</v>
      </c>
      <c r="M756" t="s">
        <v>61</v>
      </c>
      <c r="N756" t="s">
        <v>1753</v>
      </c>
      <c r="O756">
        <v>1</v>
      </c>
      <c r="P756">
        <v>1</v>
      </c>
      <c r="Q756">
        <v>0</v>
      </c>
      <c r="R756" s="1">
        <v>46195.67863425926</v>
      </c>
      <c r="S756" s="1">
        <v>46205.872361111113</v>
      </c>
    </row>
    <row r="757" spans="1:19" x14ac:dyDescent="0.25">
      <c r="A757">
        <v>2010109608</v>
      </c>
      <c r="B757" t="s">
        <v>28</v>
      </c>
      <c r="C757" t="s">
        <v>29</v>
      </c>
      <c r="D757" t="s">
        <v>1768</v>
      </c>
      <c r="E757" t="s">
        <v>1769</v>
      </c>
      <c r="F757" t="e">
        <f>--ds-btn-disabled-light-disabled-border</f>
        <v>#NAME?</v>
      </c>
      <c r="G757" t="s">
        <v>120</v>
      </c>
      <c r="H757" t="s">
        <v>120</v>
      </c>
      <c r="I757" t="s">
        <v>32</v>
      </c>
      <c r="J757" t="s">
        <v>24</v>
      </c>
      <c r="K757" t="s">
        <v>131</v>
      </c>
      <c r="L757" t="s">
        <v>226</v>
      </c>
      <c r="M757" t="s">
        <v>65</v>
      </c>
      <c r="N757" t="s">
        <v>1753</v>
      </c>
      <c r="O757">
        <v>1</v>
      </c>
      <c r="P757">
        <v>1</v>
      </c>
      <c r="Q757">
        <v>0</v>
      </c>
      <c r="R757" s="1">
        <v>46195.67863425926</v>
      </c>
      <c r="S757" s="1">
        <v>46205.872361111113</v>
      </c>
    </row>
    <row r="758" spans="1:19" x14ac:dyDescent="0.25">
      <c r="A758">
        <v>2010109609</v>
      </c>
      <c r="B758" t="s">
        <v>28</v>
      </c>
      <c r="C758" t="s">
        <v>29</v>
      </c>
      <c r="D758" t="s">
        <v>1770</v>
      </c>
      <c r="E758" t="s">
        <v>1771</v>
      </c>
      <c r="F758" t="e">
        <f>--ds-btn-disabled-light-shadow</f>
        <v>#NAME?</v>
      </c>
      <c r="G758" t="s">
        <v>68</v>
      </c>
      <c r="H758" t="s">
        <v>68</v>
      </c>
      <c r="I758" t="s">
        <v>32</v>
      </c>
      <c r="J758" t="s">
        <v>69</v>
      </c>
      <c r="K758" t="s">
        <v>131</v>
      </c>
      <c r="L758" t="s">
        <v>226</v>
      </c>
      <c r="M758" t="s">
        <v>70</v>
      </c>
      <c r="N758" t="s">
        <v>1753</v>
      </c>
      <c r="O758">
        <v>1</v>
      </c>
      <c r="P758">
        <v>0</v>
      </c>
      <c r="Q758">
        <v>0</v>
      </c>
      <c r="R758" s="1">
        <v>46195.67863425926</v>
      </c>
      <c r="S758" s="1">
        <v>46205.872361111113</v>
      </c>
    </row>
    <row r="759" spans="1:19" x14ac:dyDescent="0.25">
      <c r="A759">
        <v>2010109610</v>
      </c>
      <c r="B759" t="s">
        <v>28</v>
      </c>
      <c r="C759" t="s">
        <v>29</v>
      </c>
      <c r="D759" t="s">
        <v>1772</v>
      </c>
      <c r="E759" t="s">
        <v>1773</v>
      </c>
      <c r="F759" t="e">
        <f>--ds-btn-disabled-light-radius</f>
        <v>#NAME?</v>
      </c>
      <c r="G759" t="s">
        <v>73</v>
      </c>
      <c r="H759" t="s">
        <v>73</v>
      </c>
      <c r="I759" t="s">
        <v>32</v>
      </c>
      <c r="J759" t="s">
        <v>69</v>
      </c>
      <c r="K759" t="s">
        <v>131</v>
      </c>
      <c r="L759" t="s">
        <v>226</v>
      </c>
      <c r="M759" t="s">
        <v>74</v>
      </c>
      <c r="N759" t="s">
        <v>1753</v>
      </c>
      <c r="O759">
        <v>1</v>
      </c>
      <c r="P759">
        <v>0</v>
      </c>
      <c r="Q759">
        <v>0</v>
      </c>
      <c r="R759" s="1">
        <v>46195.67863425926</v>
      </c>
      <c r="S759" s="1">
        <v>46205.872361111113</v>
      </c>
    </row>
    <row r="760" spans="1:19" x14ac:dyDescent="0.25">
      <c r="A760">
        <v>2010109611</v>
      </c>
      <c r="B760" t="s">
        <v>28</v>
      </c>
      <c r="C760" t="s">
        <v>29</v>
      </c>
      <c r="D760" t="s">
        <v>1774</v>
      </c>
      <c r="E760" t="s">
        <v>1775</v>
      </c>
      <c r="F760" t="e">
        <f>--ds-btn-disabled-light-padding-x</f>
        <v>#NAME?</v>
      </c>
      <c r="G760" t="s">
        <v>77</v>
      </c>
      <c r="H760" t="s">
        <v>77</v>
      </c>
      <c r="I760" t="s">
        <v>32</v>
      </c>
      <c r="J760" t="s">
        <v>78</v>
      </c>
      <c r="K760" t="s">
        <v>131</v>
      </c>
      <c r="L760" t="s">
        <v>226</v>
      </c>
      <c r="M760" t="s">
        <v>79</v>
      </c>
      <c r="N760" t="s">
        <v>1753</v>
      </c>
      <c r="O760">
        <v>1</v>
      </c>
      <c r="P760">
        <v>0</v>
      </c>
      <c r="Q760">
        <v>0</v>
      </c>
      <c r="R760" s="1">
        <v>46195.67863425926</v>
      </c>
      <c r="S760" s="1">
        <v>46205.872361111113</v>
      </c>
    </row>
    <row r="761" spans="1:19" x14ac:dyDescent="0.25">
      <c r="A761">
        <v>2010109612</v>
      </c>
      <c r="B761" t="s">
        <v>28</v>
      </c>
      <c r="C761" t="s">
        <v>29</v>
      </c>
      <c r="D761" t="s">
        <v>1776</v>
      </c>
      <c r="E761" t="s">
        <v>1777</v>
      </c>
      <c r="F761" t="e">
        <f>--ds-btn-disabled-light-padding-y</f>
        <v>#NAME?</v>
      </c>
      <c r="G761" t="s">
        <v>82</v>
      </c>
      <c r="H761" t="s">
        <v>82</v>
      </c>
      <c r="I761" t="s">
        <v>32</v>
      </c>
      <c r="J761" t="s">
        <v>78</v>
      </c>
      <c r="K761" t="s">
        <v>131</v>
      </c>
      <c r="L761" t="s">
        <v>226</v>
      </c>
      <c r="M761" t="s">
        <v>83</v>
      </c>
      <c r="N761" t="s">
        <v>1753</v>
      </c>
      <c r="O761">
        <v>1</v>
      </c>
      <c r="P761">
        <v>0</v>
      </c>
      <c r="Q761">
        <v>0</v>
      </c>
      <c r="R761" s="1">
        <v>46195.67863425926</v>
      </c>
      <c r="S761" s="1">
        <v>46205.872361111113</v>
      </c>
    </row>
    <row r="762" spans="1:19" x14ac:dyDescent="0.25">
      <c r="A762">
        <v>2010109613</v>
      </c>
      <c r="B762" t="s">
        <v>28</v>
      </c>
      <c r="C762" t="s">
        <v>29</v>
      </c>
      <c r="D762" t="s">
        <v>1778</v>
      </c>
      <c r="E762" t="s">
        <v>1779</v>
      </c>
      <c r="F762" t="e">
        <f>--ds-btn-disabled-light-gap</f>
        <v>#NAME?</v>
      </c>
      <c r="G762" t="s">
        <v>86</v>
      </c>
      <c r="H762" t="s">
        <v>86</v>
      </c>
      <c r="I762" t="s">
        <v>32</v>
      </c>
      <c r="J762" t="s">
        <v>78</v>
      </c>
      <c r="K762" t="s">
        <v>131</v>
      </c>
      <c r="L762" t="s">
        <v>226</v>
      </c>
      <c r="M762" t="s">
        <v>87</v>
      </c>
      <c r="N762" t="s">
        <v>1753</v>
      </c>
      <c r="O762">
        <v>1</v>
      </c>
      <c r="P762">
        <v>0</v>
      </c>
      <c r="Q762">
        <v>0</v>
      </c>
      <c r="R762" s="1">
        <v>46195.67863425926</v>
      </c>
      <c r="S762" s="1">
        <v>46205.872361111113</v>
      </c>
    </row>
    <row r="763" spans="1:19" x14ac:dyDescent="0.25">
      <c r="A763">
        <v>2010109614</v>
      </c>
      <c r="B763" t="s">
        <v>28</v>
      </c>
      <c r="C763" t="s">
        <v>29</v>
      </c>
      <c r="D763" t="s">
        <v>1780</v>
      </c>
      <c r="E763" t="s">
        <v>1781</v>
      </c>
      <c r="F763" t="e">
        <f>--ds-btn-disabled-light-focus-ring</f>
        <v>#NAME?</v>
      </c>
      <c r="G763" t="s">
        <v>1782</v>
      </c>
      <c r="H763" t="s">
        <v>1782</v>
      </c>
      <c r="I763" t="s">
        <v>32</v>
      </c>
      <c r="J763" t="s">
        <v>69</v>
      </c>
      <c r="K763" t="s">
        <v>131</v>
      </c>
      <c r="L763" t="s">
        <v>226</v>
      </c>
      <c r="M763" t="s">
        <v>91</v>
      </c>
      <c r="N763" t="s">
        <v>1753</v>
      </c>
      <c r="O763">
        <v>1</v>
      </c>
      <c r="P763">
        <v>0</v>
      </c>
      <c r="Q763">
        <v>0</v>
      </c>
      <c r="R763" s="1">
        <v>46195.67863425926</v>
      </c>
      <c r="S763" s="1">
        <v>46205.872361111113</v>
      </c>
    </row>
    <row r="764" spans="1:19" x14ac:dyDescent="0.25">
      <c r="A764">
        <v>2010109615</v>
      </c>
      <c r="B764" t="s">
        <v>28</v>
      </c>
      <c r="C764" t="s">
        <v>29</v>
      </c>
      <c r="D764" t="s">
        <v>1783</v>
      </c>
      <c r="E764" t="s">
        <v>1784</v>
      </c>
      <c r="F764" t="e">
        <f>--ds-btn-disabled-light-outline</f>
        <v>#NAME?</v>
      </c>
      <c r="G764" t="s">
        <v>94</v>
      </c>
      <c r="H764" t="s">
        <v>94</v>
      </c>
      <c r="I764" t="s">
        <v>32</v>
      </c>
      <c r="J764" t="s">
        <v>69</v>
      </c>
      <c r="K764" t="s">
        <v>131</v>
      </c>
      <c r="L764" t="s">
        <v>226</v>
      </c>
      <c r="M764" t="s">
        <v>95</v>
      </c>
      <c r="N764" t="s">
        <v>1753</v>
      </c>
      <c r="O764">
        <v>1</v>
      </c>
      <c r="P764">
        <v>0</v>
      </c>
      <c r="Q764">
        <v>0</v>
      </c>
      <c r="R764" s="1">
        <v>46195.67863425926</v>
      </c>
      <c r="S764" s="1">
        <v>46205.872361111113</v>
      </c>
    </row>
    <row r="765" spans="1:19" x14ac:dyDescent="0.25">
      <c r="A765">
        <v>2010109616</v>
      </c>
      <c r="B765" t="s">
        <v>28</v>
      </c>
      <c r="C765" t="s">
        <v>29</v>
      </c>
      <c r="D765" t="s">
        <v>1785</v>
      </c>
      <c r="E765" t="s">
        <v>1786</v>
      </c>
      <c r="F765" t="e">
        <f>--ds-btn-disabled-light-transition</f>
        <v>#NAME?</v>
      </c>
      <c r="G765" t="s">
        <v>98</v>
      </c>
      <c r="H765" t="s">
        <v>98</v>
      </c>
      <c r="I765" t="s">
        <v>32</v>
      </c>
      <c r="J765" t="s">
        <v>69</v>
      </c>
      <c r="K765" t="s">
        <v>131</v>
      </c>
      <c r="L765" t="s">
        <v>226</v>
      </c>
      <c r="M765" t="s">
        <v>99</v>
      </c>
      <c r="N765" t="s">
        <v>1753</v>
      </c>
      <c r="O765">
        <v>1</v>
      </c>
      <c r="P765">
        <v>0</v>
      </c>
      <c r="Q765">
        <v>0</v>
      </c>
      <c r="R765" s="1">
        <v>46195.67863425926</v>
      </c>
      <c r="S765" s="1">
        <v>46205.872361111113</v>
      </c>
    </row>
    <row r="766" spans="1:19" x14ac:dyDescent="0.25">
      <c r="A766">
        <v>2010109617</v>
      </c>
      <c r="B766" t="s">
        <v>28</v>
      </c>
      <c r="C766" t="s">
        <v>29</v>
      </c>
      <c r="D766" t="s">
        <v>1787</v>
      </c>
      <c r="E766" t="s">
        <v>1788</v>
      </c>
      <c r="F766" t="e">
        <f>--ds-btn-disabled-light-icon-color</f>
        <v>#NAME?</v>
      </c>
      <c r="G766" t="s">
        <v>60</v>
      </c>
      <c r="H766" t="s">
        <v>60</v>
      </c>
      <c r="I766" t="s">
        <v>32</v>
      </c>
      <c r="J766" t="s">
        <v>24</v>
      </c>
      <c r="K766" t="s">
        <v>131</v>
      </c>
      <c r="L766" t="s">
        <v>226</v>
      </c>
      <c r="M766" t="s">
        <v>102</v>
      </c>
      <c r="N766" t="s">
        <v>1753</v>
      </c>
      <c r="O766">
        <v>1</v>
      </c>
      <c r="P766">
        <v>0</v>
      </c>
      <c r="Q766">
        <v>0</v>
      </c>
      <c r="R766" s="1">
        <v>46195.67863425926</v>
      </c>
      <c r="S766" s="1">
        <v>46205.872361111113</v>
      </c>
    </row>
    <row r="767" spans="1:19" x14ac:dyDescent="0.25">
      <c r="A767">
        <v>2010109618</v>
      </c>
      <c r="B767" t="s">
        <v>28</v>
      </c>
      <c r="C767" t="s">
        <v>29</v>
      </c>
      <c r="D767" t="s">
        <v>1789</v>
      </c>
      <c r="E767" t="s">
        <v>1790</v>
      </c>
      <c r="F767" t="e">
        <f>--ds-btn-disabled-light-icon-size</f>
        <v>#NAME?</v>
      </c>
      <c r="G767" t="s">
        <v>105</v>
      </c>
      <c r="H767" t="s">
        <v>105</v>
      </c>
      <c r="I767" t="s">
        <v>32</v>
      </c>
      <c r="J767" t="s">
        <v>78</v>
      </c>
      <c r="K767" t="s">
        <v>131</v>
      </c>
      <c r="L767" t="s">
        <v>226</v>
      </c>
      <c r="M767" t="s">
        <v>106</v>
      </c>
      <c r="N767" t="s">
        <v>1753</v>
      </c>
      <c r="O767">
        <v>1</v>
      </c>
      <c r="P767">
        <v>0</v>
      </c>
      <c r="Q767">
        <v>0</v>
      </c>
      <c r="R767" s="1">
        <v>46195.67863425926</v>
      </c>
      <c r="S767" s="1">
        <v>46205.872361111113</v>
      </c>
    </row>
    <row r="768" spans="1:19" x14ac:dyDescent="0.25">
      <c r="A768">
        <v>2010109619</v>
      </c>
      <c r="B768" t="s">
        <v>28</v>
      </c>
      <c r="C768" t="s">
        <v>29</v>
      </c>
      <c r="D768" t="s">
        <v>1791</v>
      </c>
      <c r="E768" t="s">
        <v>1792</v>
      </c>
      <c r="F768" t="e">
        <f>--ds-btn-disabled-light-line-height</f>
        <v>#NAME?</v>
      </c>
      <c r="G768">
        <v>1.2</v>
      </c>
      <c r="H768">
        <v>1.2</v>
      </c>
      <c r="I768" t="s">
        <v>32</v>
      </c>
      <c r="J768" t="s">
        <v>78</v>
      </c>
      <c r="K768" t="s">
        <v>131</v>
      </c>
      <c r="L768" t="s">
        <v>226</v>
      </c>
      <c r="M768" t="s">
        <v>109</v>
      </c>
      <c r="N768" t="s">
        <v>1753</v>
      </c>
      <c r="O768">
        <v>1</v>
      </c>
      <c r="P768">
        <v>0</v>
      </c>
      <c r="Q768">
        <v>0</v>
      </c>
      <c r="R768" s="1">
        <v>46195.67863425926</v>
      </c>
      <c r="S768" s="1">
        <v>46205.872361111113</v>
      </c>
    </row>
    <row r="769" spans="1:19" x14ac:dyDescent="0.25">
      <c r="A769">
        <v>2010109700</v>
      </c>
      <c r="B769" t="s">
        <v>28</v>
      </c>
      <c r="C769" t="s">
        <v>29</v>
      </c>
      <c r="D769" t="s">
        <v>1793</v>
      </c>
      <c r="E769" t="s">
        <v>1794</v>
      </c>
      <c r="F769" t="e">
        <f>--ds-btn-disabled-dark-bg</f>
        <v>#NAME?</v>
      </c>
      <c r="G769" t="s">
        <v>1470</v>
      </c>
      <c r="H769" t="s">
        <v>1470</v>
      </c>
      <c r="I769" t="s">
        <v>32</v>
      </c>
      <c r="J769" t="s">
        <v>24</v>
      </c>
      <c r="K769" t="s">
        <v>131</v>
      </c>
      <c r="L769" t="s">
        <v>248</v>
      </c>
      <c r="M769" t="s">
        <v>26</v>
      </c>
      <c r="N769" t="s">
        <v>1795</v>
      </c>
      <c r="O769">
        <v>1</v>
      </c>
      <c r="P769">
        <v>1</v>
      </c>
      <c r="Q769">
        <v>0</v>
      </c>
      <c r="R769" s="1">
        <v>46195.678969907407</v>
      </c>
      <c r="S769" s="1">
        <v>46205.872361111113</v>
      </c>
    </row>
    <row r="770" spans="1:19" x14ac:dyDescent="0.25">
      <c r="A770">
        <v>2010109701</v>
      </c>
      <c r="B770" t="s">
        <v>28</v>
      </c>
      <c r="C770" t="s">
        <v>29</v>
      </c>
      <c r="D770" t="s">
        <v>1796</v>
      </c>
      <c r="E770" t="s">
        <v>1797</v>
      </c>
      <c r="F770" t="e">
        <f>--ds-btn-disabled-dark-text</f>
        <v>#NAME?</v>
      </c>
      <c r="G770" t="s">
        <v>60</v>
      </c>
      <c r="H770" t="s">
        <v>60</v>
      </c>
      <c r="I770" t="s">
        <v>32</v>
      </c>
      <c r="J770" t="s">
        <v>24</v>
      </c>
      <c r="K770" t="s">
        <v>131</v>
      </c>
      <c r="L770" t="s">
        <v>248</v>
      </c>
      <c r="M770" t="s">
        <v>38</v>
      </c>
      <c r="N770" t="s">
        <v>1795</v>
      </c>
      <c r="O770">
        <v>1</v>
      </c>
      <c r="P770">
        <v>1</v>
      </c>
      <c r="Q770">
        <v>0</v>
      </c>
      <c r="R770" s="1">
        <v>46195.678969907407</v>
      </c>
      <c r="S770" s="1">
        <v>46205.872361111113</v>
      </c>
    </row>
    <row r="771" spans="1:19" x14ac:dyDescent="0.25">
      <c r="A771">
        <v>2010109702</v>
      </c>
      <c r="B771" t="s">
        <v>28</v>
      </c>
      <c r="C771" t="s">
        <v>29</v>
      </c>
      <c r="D771" t="s">
        <v>1798</v>
      </c>
      <c r="E771" t="s">
        <v>1799</v>
      </c>
      <c r="F771" t="e">
        <f>--ds-btn-disabled-dark-border</f>
        <v>#NAME?</v>
      </c>
      <c r="G771" t="s">
        <v>1475</v>
      </c>
      <c r="H771" t="s">
        <v>1475</v>
      </c>
      <c r="I771" t="s">
        <v>32</v>
      </c>
      <c r="J771" t="s">
        <v>24</v>
      </c>
      <c r="K771" t="s">
        <v>131</v>
      </c>
      <c r="L771" t="s">
        <v>248</v>
      </c>
      <c r="M771" t="s">
        <v>42</v>
      </c>
      <c r="N771" t="s">
        <v>1795</v>
      </c>
      <c r="O771">
        <v>1</v>
      </c>
      <c r="P771">
        <v>1</v>
      </c>
      <c r="Q771">
        <v>0</v>
      </c>
      <c r="R771" s="1">
        <v>46195.678969907407</v>
      </c>
      <c r="S771" s="1">
        <v>46205.872361111113</v>
      </c>
    </row>
    <row r="772" spans="1:19" x14ac:dyDescent="0.25">
      <c r="A772">
        <v>2010109703</v>
      </c>
      <c r="B772" t="s">
        <v>28</v>
      </c>
      <c r="C772" t="s">
        <v>29</v>
      </c>
      <c r="D772" t="s">
        <v>1800</v>
      </c>
      <c r="E772" t="s">
        <v>1801</v>
      </c>
      <c r="F772" t="e">
        <f>--ds-btn-disabled-dark-hover-bg</f>
        <v>#NAME?</v>
      </c>
      <c r="G772" t="s">
        <v>1470</v>
      </c>
      <c r="H772" t="s">
        <v>1470</v>
      </c>
      <c r="I772" t="s">
        <v>32</v>
      </c>
      <c r="J772" t="s">
        <v>24</v>
      </c>
      <c r="K772" t="s">
        <v>131</v>
      </c>
      <c r="L772" t="s">
        <v>248</v>
      </c>
      <c r="M772" t="s">
        <v>46</v>
      </c>
      <c r="N772" t="s">
        <v>1795</v>
      </c>
      <c r="O772">
        <v>1</v>
      </c>
      <c r="P772">
        <v>1</v>
      </c>
      <c r="Q772">
        <v>0</v>
      </c>
      <c r="R772" s="1">
        <v>46195.678969907407</v>
      </c>
      <c r="S772" s="1">
        <v>46205.872361111113</v>
      </c>
    </row>
    <row r="773" spans="1:19" x14ac:dyDescent="0.25">
      <c r="A773">
        <v>2010109704</v>
      </c>
      <c r="B773" t="s">
        <v>28</v>
      </c>
      <c r="C773" t="s">
        <v>29</v>
      </c>
      <c r="D773" t="s">
        <v>1802</v>
      </c>
      <c r="E773" t="s">
        <v>1803</v>
      </c>
      <c r="F773" t="e">
        <f>--ds-btn-disabled-dark-hover-text</f>
        <v>#NAME?</v>
      </c>
      <c r="G773" t="s">
        <v>60</v>
      </c>
      <c r="H773" t="s">
        <v>60</v>
      </c>
      <c r="I773" t="s">
        <v>32</v>
      </c>
      <c r="J773" t="s">
        <v>24</v>
      </c>
      <c r="K773" t="s">
        <v>131</v>
      </c>
      <c r="L773" t="s">
        <v>248</v>
      </c>
      <c r="M773" t="s">
        <v>49</v>
      </c>
      <c r="N773" t="s">
        <v>1795</v>
      </c>
      <c r="O773">
        <v>1</v>
      </c>
      <c r="P773">
        <v>1</v>
      </c>
      <c r="Q773">
        <v>0</v>
      </c>
      <c r="R773" s="1">
        <v>46195.678969907407</v>
      </c>
      <c r="S773" s="1">
        <v>46205.872361111113</v>
      </c>
    </row>
    <row r="774" spans="1:19" x14ac:dyDescent="0.25">
      <c r="A774">
        <v>2010109705</v>
      </c>
      <c r="B774" t="s">
        <v>28</v>
      </c>
      <c r="C774" t="s">
        <v>29</v>
      </c>
      <c r="D774" t="s">
        <v>1804</v>
      </c>
      <c r="E774" t="s">
        <v>1805</v>
      </c>
      <c r="F774" t="e">
        <f>--ds-btn-disabled-dark-hover-border</f>
        <v>#NAME?</v>
      </c>
      <c r="G774" t="s">
        <v>1475</v>
      </c>
      <c r="H774" t="s">
        <v>1475</v>
      </c>
      <c r="I774" t="s">
        <v>32</v>
      </c>
      <c r="J774" t="s">
        <v>24</v>
      </c>
      <c r="K774" t="s">
        <v>131</v>
      </c>
      <c r="L774" t="s">
        <v>248</v>
      </c>
      <c r="M774" t="s">
        <v>53</v>
      </c>
      <c r="N774" t="s">
        <v>1795</v>
      </c>
      <c r="O774">
        <v>1</v>
      </c>
      <c r="P774">
        <v>1</v>
      </c>
      <c r="Q774">
        <v>0</v>
      </c>
      <c r="R774" s="1">
        <v>46195.678969907407</v>
      </c>
      <c r="S774" s="1">
        <v>46205.872361111113</v>
      </c>
    </row>
    <row r="775" spans="1:19" x14ac:dyDescent="0.25">
      <c r="A775">
        <v>2010109706</v>
      </c>
      <c r="B775" t="s">
        <v>28</v>
      </c>
      <c r="C775" t="s">
        <v>29</v>
      </c>
      <c r="D775" t="s">
        <v>1806</v>
      </c>
      <c r="E775" t="s">
        <v>1807</v>
      </c>
      <c r="F775" t="e">
        <f>--ds-btn-disabled-dark-disabled-bg</f>
        <v>#NAME?</v>
      </c>
      <c r="G775" t="s">
        <v>1470</v>
      </c>
      <c r="H775" t="s">
        <v>1470</v>
      </c>
      <c r="I775" t="s">
        <v>32</v>
      </c>
      <c r="J775" t="s">
        <v>24</v>
      </c>
      <c r="K775" t="s">
        <v>131</v>
      </c>
      <c r="L775" t="s">
        <v>248</v>
      </c>
      <c r="M775" t="s">
        <v>57</v>
      </c>
      <c r="N775" t="s">
        <v>1795</v>
      </c>
      <c r="O775">
        <v>1</v>
      </c>
      <c r="P775">
        <v>1</v>
      </c>
      <c r="Q775">
        <v>0</v>
      </c>
      <c r="R775" s="1">
        <v>46195.678969907407</v>
      </c>
      <c r="S775" s="1">
        <v>46205.872361111113</v>
      </c>
    </row>
    <row r="776" spans="1:19" x14ac:dyDescent="0.25">
      <c r="A776">
        <v>2010109707</v>
      </c>
      <c r="B776" t="s">
        <v>28</v>
      </c>
      <c r="C776" t="s">
        <v>29</v>
      </c>
      <c r="D776" t="s">
        <v>1808</v>
      </c>
      <c r="E776" t="s">
        <v>1809</v>
      </c>
      <c r="F776" t="e">
        <f>--ds-btn-disabled-dark-disabled-text</f>
        <v>#NAME?</v>
      </c>
      <c r="G776" t="s">
        <v>60</v>
      </c>
      <c r="H776" t="s">
        <v>60</v>
      </c>
      <c r="I776" t="s">
        <v>32</v>
      </c>
      <c r="J776" t="s">
        <v>24</v>
      </c>
      <c r="K776" t="s">
        <v>131</v>
      </c>
      <c r="L776" t="s">
        <v>248</v>
      </c>
      <c r="M776" t="s">
        <v>61</v>
      </c>
      <c r="N776" t="s">
        <v>1795</v>
      </c>
      <c r="O776">
        <v>1</v>
      </c>
      <c r="P776">
        <v>1</v>
      </c>
      <c r="Q776">
        <v>0</v>
      </c>
      <c r="R776" s="1">
        <v>46195.678969907407</v>
      </c>
      <c r="S776" s="1">
        <v>46205.872361111113</v>
      </c>
    </row>
    <row r="777" spans="1:19" x14ac:dyDescent="0.25">
      <c r="A777">
        <v>2010109708</v>
      </c>
      <c r="B777" t="s">
        <v>28</v>
      </c>
      <c r="C777" t="s">
        <v>29</v>
      </c>
      <c r="D777" t="s">
        <v>1810</v>
      </c>
      <c r="E777" t="s">
        <v>1811</v>
      </c>
      <c r="F777" t="e">
        <f>--ds-btn-disabled-dark-disabled-border</f>
        <v>#NAME?</v>
      </c>
      <c r="G777" t="s">
        <v>1475</v>
      </c>
      <c r="H777" t="s">
        <v>1475</v>
      </c>
      <c r="I777" t="s">
        <v>32</v>
      </c>
      <c r="J777" t="s">
        <v>24</v>
      </c>
      <c r="K777" t="s">
        <v>131</v>
      </c>
      <c r="L777" t="s">
        <v>248</v>
      </c>
      <c r="M777" t="s">
        <v>65</v>
      </c>
      <c r="N777" t="s">
        <v>1795</v>
      </c>
      <c r="O777">
        <v>1</v>
      </c>
      <c r="P777">
        <v>1</v>
      </c>
      <c r="Q777">
        <v>0</v>
      </c>
      <c r="R777" s="1">
        <v>46195.678969907407</v>
      </c>
      <c r="S777" s="1">
        <v>46205.872361111113</v>
      </c>
    </row>
    <row r="778" spans="1:19" x14ac:dyDescent="0.25">
      <c r="A778">
        <v>2010109709</v>
      </c>
      <c r="B778" t="s">
        <v>28</v>
      </c>
      <c r="C778" t="s">
        <v>29</v>
      </c>
      <c r="D778" t="s">
        <v>1812</v>
      </c>
      <c r="E778" t="s">
        <v>1813</v>
      </c>
      <c r="F778" t="e">
        <f>--ds-btn-disabled-dark-shadow</f>
        <v>#NAME?</v>
      </c>
      <c r="G778" t="s">
        <v>68</v>
      </c>
      <c r="H778" t="s">
        <v>68</v>
      </c>
      <c r="I778" t="s">
        <v>32</v>
      </c>
      <c r="J778" t="s">
        <v>69</v>
      </c>
      <c r="K778" t="s">
        <v>131</v>
      </c>
      <c r="L778" t="s">
        <v>248</v>
      </c>
      <c r="M778" t="s">
        <v>70</v>
      </c>
      <c r="N778" t="s">
        <v>1795</v>
      </c>
      <c r="O778">
        <v>1</v>
      </c>
      <c r="P778">
        <v>0</v>
      </c>
      <c r="Q778">
        <v>0</v>
      </c>
      <c r="R778" s="1">
        <v>46195.678969907407</v>
      </c>
      <c r="S778" s="1">
        <v>46205.872361111113</v>
      </c>
    </row>
    <row r="779" spans="1:19" x14ac:dyDescent="0.25">
      <c r="A779">
        <v>2010109710</v>
      </c>
      <c r="B779" t="s">
        <v>28</v>
      </c>
      <c r="C779" t="s">
        <v>29</v>
      </c>
      <c r="D779" t="s">
        <v>1814</v>
      </c>
      <c r="E779" t="s">
        <v>1815</v>
      </c>
      <c r="F779" t="e">
        <f>--ds-btn-disabled-dark-radius</f>
        <v>#NAME?</v>
      </c>
      <c r="G779" t="s">
        <v>73</v>
      </c>
      <c r="H779" t="s">
        <v>73</v>
      </c>
      <c r="I779" t="s">
        <v>32</v>
      </c>
      <c r="J779" t="s">
        <v>69</v>
      </c>
      <c r="K779" t="s">
        <v>131</v>
      </c>
      <c r="L779" t="s">
        <v>248</v>
      </c>
      <c r="M779" t="s">
        <v>74</v>
      </c>
      <c r="N779" t="s">
        <v>1795</v>
      </c>
      <c r="O779">
        <v>1</v>
      </c>
      <c r="P779">
        <v>0</v>
      </c>
      <c r="Q779">
        <v>0</v>
      </c>
      <c r="R779" s="1">
        <v>46195.678969907407</v>
      </c>
      <c r="S779" s="1">
        <v>46205.872361111113</v>
      </c>
    </row>
    <row r="780" spans="1:19" x14ac:dyDescent="0.25">
      <c r="A780">
        <v>2010109711</v>
      </c>
      <c r="B780" t="s">
        <v>28</v>
      </c>
      <c r="C780" t="s">
        <v>29</v>
      </c>
      <c r="D780" t="s">
        <v>1816</v>
      </c>
      <c r="E780" t="s">
        <v>1817</v>
      </c>
      <c r="F780" t="e">
        <f>--ds-btn-disabled-dark-padding-x</f>
        <v>#NAME?</v>
      </c>
      <c r="G780" t="s">
        <v>77</v>
      </c>
      <c r="H780" t="s">
        <v>77</v>
      </c>
      <c r="I780" t="s">
        <v>32</v>
      </c>
      <c r="J780" t="s">
        <v>78</v>
      </c>
      <c r="K780" t="s">
        <v>131</v>
      </c>
      <c r="L780" t="s">
        <v>248</v>
      </c>
      <c r="M780" t="s">
        <v>79</v>
      </c>
      <c r="N780" t="s">
        <v>1795</v>
      </c>
      <c r="O780">
        <v>1</v>
      </c>
      <c r="P780">
        <v>0</v>
      </c>
      <c r="Q780">
        <v>0</v>
      </c>
      <c r="R780" s="1">
        <v>46195.678969907407</v>
      </c>
      <c r="S780" s="1">
        <v>46205.872361111113</v>
      </c>
    </row>
    <row r="781" spans="1:19" x14ac:dyDescent="0.25">
      <c r="A781">
        <v>2010109712</v>
      </c>
      <c r="B781" t="s">
        <v>28</v>
      </c>
      <c r="C781" t="s">
        <v>29</v>
      </c>
      <c r="D781" t="s">
        <v>1818</v>
      </c>
      <c r="E781" t="s">
        <v>1819</v>
      </c>
      <c r="F781" t="e">
        <f>--ds-btn-disabled-dark-padding-y</f>
        <v>#NAME?</v>
      </c>
      <c r="G781" t="s">
        <v>82</v>
      </c>
      <c r="H781" t="s">
        <v>82</v>
      </c>
      <c r="I781" t="s">
        <v>32</v>
      </c>
      <c r="J781" t="s">
        <v>78</v>
      </c>
      <c r="K781" t="s">
        <v>131</v>
      </c>
      <c r="L781" t="s">
        <v>248</v>
      </c>
      <c r="M781" t="s">
        <v>83</v>
      </c>
      <c r="N781" t="s">
        <v>1795</v>
      </c>
      <c r="O781">
        <v>1</v>
      </c>
      <c r="P781">
        <v>0</v>
      </c>
      <c r="Q781">
        <v>0</v>
      </c>
      <c r="R781" s="1">
        <v>46195.678969907407</v>
      </c>
      <c r="S781" s="1">
        <v>46205.872361111113</v>
      </c>
    </row>
    <row r="782" spans="1:19" x14ac:dyDescent="0.25">
      <c r="A782">
        <v>2010109713</v>
      </c>
      <c r="B782" t="s">
        <v>28</v>
      </c>
      <c r="C782" t="s">
        <v>29</v>
      </c>
      <c r="D782" t="s">
        <v>1820</v>
      </c>
      <c r="E782" t="s">
        <v>1821</v>
      </c>
      <c r="F782" t="e">
        <f>--ds-btn-disabled-dark-gap</f>
        <v>#NAME?</v>
      </c>
      <c r="G782" t="s">
        <v>86</v>
      </c>
      <c r="H782" t="s">
        <v>86</v>
      </c>
      <c r="I782" t="s">
        <v>32</v>
      </c>
      <c r="J782" t="s">
        <v>78</v>
      </c>
      <c r="K782" t="s">
        <v>131</v>
      </c>
      <c r="L782" t="s">
        <v>248</v>
      </c>
      <c r="M782" t="s">
        <v>87</v>
      </c>
      <c r="N782" t="s">
        <v>1795</v>
      </c>
      <c r="O782">
        <v>1</v>
      </c>
      <c r="P782">
        <v>0</v>
      </c>
      <c r="Q782">
        <v>0</v>
      </c>
      <c r="R782" s="1">
        <v>46195.678969907407</v>
      </c>
      <c r="S782" s="1">
        <v>46205.872361111113</v>
      </c>
    </row>
    <row r="783" spans="1:19" x14ac:dyDescent="0.25">
      <c r="A783">
        <v>2010109714</v>
      </c>
      <c r="B783" t="s">
        <v>28</v>
      </c>
      <c r="C783" t="s">
        <v>29</v>
      </c>
      <c r="D783" t="s">
        <v>1822</v>
      </c>
      <c r="E783" t="s">
        <v>1823</v>
      </c>
      <c r="F783" t="e">
        <f>--ds-btn-disabled-dark-focus-ring</f>
        <v>#NAME?</v>
      </c>
      <c r="G783" t="s">
        <v>1824</v>
      </c>
      <c r="H783" t="s">
        <v>1824</v>
      </c>
      <c r="I783" t="s">
        <v>32</v>
      </c>
      <c r="J783" t="s">
        <v>69</v>
      </c>
      <c r="K783" t="s">
        <v>131</v>
      </c>
      <c r="L783" t="s">
        <v>248</v>
      </c>
      <c r="M783" t="s">
        <v>91</v>
      </c>
      <c r="N783" t="s">
        <v>1795</v>
      </c>
      <c r="O783">
        <v>1</v>
      </c>
      <c r="P783">
        <v>0</v>
      </c>
      <c r="Q783">
        <v>0</v>
      </c>
      <c r="R783" s="1">
        <v>46195.678969907407</v>
      </c>
      <c r="S783" s="1">
        <v>46205.872361111113</v>
      </c>
    </row>
    <row r="784" spans="1:19" x14ac:dyDescent="0.25">
      <c r="A784">
        <v>2010109715</v>
      </c>
      <c r="B784" t="s">
        <v>28</v>
      </c>
      <c r="C784" t="s">
        <v>29</v>
      </c>
      <c r="D784" t="s">
        <v>1825</v>
      </c>
      <c r="E784" t="s">
        <v>1826</v>
      </c>
      <c r="F784" t="e">
        <f>--ds-btn-disabled-dark-outline</f>
        <v>#NAME?</v>
      </c>
      <c r="G784" t="s">
        <v>94</v>
      </c>
      <c r="H784" t="s">
        <v>94</v>
      </c>
      <c r="I784" t="s">
        <v>32</v>
      </c>
      <c r="J784" t="s">
        <v>69</v>
      </c>
      <c r="K784" t="s">
        <v>131</v>
      </c>
      <c r="L784" t="s">
        <v>248</v>
      </c>
      <c r="M784" t="s">
        <v>95</v>
      </c>
      <c r="N784" t="s">
        <v>1795</v>
      </c>
      <c r="O784">
        <v>1</v>
      </c>
      <c r="P784">
        <v>0</v>
      </c>
      <c r="Q784">
        <v>0</v>
      </c>
      <c r="R784" s="1">
        <v>46195.678969907407</v>
      </c>
      <c r="S784" s="1">
        <v>46205.872361111113</v>
      </c>
    </row>
    <row r="785" spans="1:19" x14ac:dyDescent="0.25">
      <c r="A785">
        <v>2010109716</v>
      </c>
      <c r="B785" t="s">
        <v>28</v>
      </c>
      <c r="C785" t="s">
        <v>29</v>
      </c>
      <c r="D785" t="s">
        <v>1827</v>
      </c>
      <c r="E785" t="s">
        <v>1828</v>
      </c>
      <c r="F785" t="e">
        <f>--ds-btn-disabled-dark-transition</f>
        <v>#NAME?</v>
      </c>
      <c r="G785" t="s">
        <v>98</v>
      </c>
      <c r="H785" t="s">
        <v>98</v>
      </c>
      <c r="I785" t="s">
        <v>32</v>
      </c>
      <c r="J785" t="s">
        <v>69</v>
      </c>
      <c r="K785" t="s">
        <v>131</v>
      </c>
      <c r="L785" t="s">
        <v>248</v>
      </c>
      <c r="M785" t="s">
        <v>99</v>
      </c>
      <c r="N785" t="s">
        <v>1795</v>
      </c>
      <c r="O785">
        <v>1</v>
      </c>
      <c r="P785">
        <v>0</v>
      </c>
      <c r="Q785">
        <v>0</v>
      </c>
      <c r="R785" s="1">
        <v>46195.678969907407</v>
      </c>
      <c r="S785" s="1">
        <v>46205.872361111113</v>
      </c>
    </row>
    <row r="786" spans="1:19" x14ac:dyDescent="0.25">
      <c r="A786">
        <v>2010109717</v>
      </c>
      <c r="B786" t="s">
        <v>28</v>
      </c>
      <c r="C786" t="s">
        <v>29</v>
      </c>
      <c r="D786" t="s">
        <v>1829</v>
      </c>
      <c r="E786" t="s">
        <v>1830</v>
      </c>
      <c r="F786" t="e">
        <f>--ds-btn-disabled-dark-icon-color</f>
        <v>#NAME?</v>
      </c>
      <c r="G786" t="s">
        <v>60</v>
      </c>
      <c r="H786" t="s">
        <v>60</v>
      </c>
      <c r="I786" t="s">
        <v>32</v>
      </c>
      <c r="J786" t="s">
        <v>24</v>
      </c>
      <c r="K786" t="s">
        <v>131</v>
      </c>
      <c r="L786" t="s">
        <v>248</v>
      </c>
      <c r="M786" t="s">
        <v>102</v>
      </c>
      <c r="N786" t="s">
        <v>1795</v>
      </c>
      <c r="O786">
        <v>1</v>
      </c>
      <c r="P786">
        <v>0</v>
      </c>
      <c r="Q786">
        <v>0</v>
      </c>
      <c r="R786" s="1">
        <v>46195.678969907407</v>
      </c>
      <c r="S786" s="1">
        <v>46205.872361111113</v>
      </c>
    </row>
    <row r="787" spans="1:19" x14ac:dyDescent="0.25">
      <c r="A787">
        <v>2010109718</v>
      </c>
      <c r="B787" t="s">
        <v>28</v>
      </c>
      <c r="C787" t="s">
        <v>29</v>
      </c>
      <c r="D787" t="s">
        <v>1831</v>
      </c>
      <c r="E787" t="s">
        <v>1832</v>
      </c>
      <c r="F787" t="e">
        <f>--ds-btn-disabled-dark-icon-size</f>
        <v>#NAME?</v>
      </c>
      <c r="G787" t="s">
        <v>105</v>
      </c>
      <c r="H787" t="s">
        <v>105</v>
      </c>
      <c r="I787" t="s">
        <v>32</v>
      </c>
      <c r="J787" t="s">
        <v>78</v>
      </c>
      <c r="K787" t="s">
        <v>131</v>
      </c>
      <c r="L787" t="s">
        <v>248</v>
      </c>
      <c r="M787" t="s">
        <v>106</v>
      </c>
      <c r="N787" t="s">
        <v>1795</v>
      </c>
      <c r="O787">
        <v>1</v>
      </c>
      <c r="P787">
        <v>0</v>
      </c>
      <c r="Q787">
        <v>0</v>
      </c>
      <c r="R787" s="1">
        <v>46195.678969907407</v>
      </c>
      <c r="S787" s="1">
        <v>46205.872361111113</v>
      </c>
    </row>
    <row r="788" spans="1:19" x14ac:dyDescent="0.25">
      <c r="A788">
        <v>2010109719</v>
      </c>
      <c r="B788" t="s">
        <v>28</v>
      </c>
      <c r="C788" t="s">
        <v>29</v>
      </c>
      <c r="D788" t="s">
        <v>1833</v>
      </c>
      <c r="E788" t="s">
        <v>1834</v>
      </c>
      <c r="F788" t="e">
        <f>--ds-btn-disabled-dark-line-height</f>
        <v>#NAME?</v>
      </c>
      <c r="G788">
        <v>1.2</v>
      </c>
      <c r="H788">
        <v>1.2</v>
      </c>
      <c r="I788" t="s">
        <v>32</v>
      </c>
      <c r="J788" t="s">
        <v>78</v>
      </c>
      <c r="K788" t="s">
        <v>131</v>
      </c>
      <c r="L788" t="s">
        <v>248</v>
      </c>
      <c r="M788" t="s">
        <v>109</v>
      </c>
      <c r="N788" t="s">
        <v>1795</v>
      </c>
      <c r="O788">
        <v>1</v>
      </c>
      <c r="P788">
        <v>0</v>
      </c>
      <c r="Q788">
        <v>0</v>
      </c>
      <c r="R788" s="1">
        <v>46195.678969907407</v>
      </c>
      <c r="S788" s="1">
        <v>46205.872361111113</v>
      </c>
    </row>
    <row r="789" spans="1:19" x14ac:dyDescent="0.25">
      <c r="A789">
        <v>2010110000</v>
      </c>
      <c r="B789" t="s">
        <v>28</v>
      </c>
      <c r="C789" t="s">
        <v>29</v>
      </c>
      <c r="D789" t="s">
        <v>1835</v>
      </c>
      <c r="E789" t="s">
        <v>1836</v>
      </c>
      <c r="F789" t="e">
        <f>--ds-btn-loading-primary-bg</f>
        <v>#NAME?</v>
      </c>
      <c r="G789" t="s">
        <v>23</v>
      </c>
      <c r="H789" t="s">
        <v>23</v>
      </c>
      <c r="I789" t="s">
        <v>32</v>
      </c>
      <c r="J789" t="s">
        <v>24</v>
      </c>
      <c r="K789" t="s">
        <v>1837</v>
      </c>
      <c r="L789" t="s">
        <v>25</v>
      </c>
      <c r="M789" t="s">
        <v>26</v>
      </c>
      <c r="N789" t="s">
        <v>1838</v>
      </c>
      <c r="O789">
        <v>1</v>
      </c>
      <c r="P789">
        <v>1</v>
      </c>
      <c r="Q789">
        <v>0</v>
      </c>
      <c r="R789" s="1">
        <v>46195.679768518516</v>
      </c>
      <c r="S789" s="1">
        <v>46206.360960648148</v>
      </c>
    </row>
    <row r="790" spans="1:19" x14ac:dyDescent="0.25">
      <c r="A790">
        <v>2010110001</v>
      </c>
      <c r="B790" t="s">
        <v>28</v>
      </c>
      <c r="C790" t="s">
        <v>29</v>
      </c>
      <c r="D790" t="s">
        <v>1839</v>
      </c>
      <c r="E790" t="s">
        <v>1840</v>
      </c>
      <c r="F790" t="e">
        <f>--ds-btn-loading-primary-text</f>
        <v>#NAME?</v>
      </c>
      <c r="G790" t="s">
        <v>37</v>
      </c>
      <c r="H790" t="s">
        <v>37</v>
      </c>
      <c r="I790" t="s">
        <v>32</v>
      </c>
      <c r="J790" t="s">
        <v>24</v>
      </c>
      <c r="K790" t="s">
        <v>1837</v>
      </c>
      <c r="L790" t="s">
        <v>25</v>
      </c>
      <c r="M790" t="s">
        <v>38</v>
      </c>
      <c r="N790" t="s">
        <v>1838</v>
      </c>
      <c r="O790">
        <v>1</v>
      </c>
      <c r="P790">
        <v>1</v>
      </c>
      <c r="Q790">
        <v>0</v>
      </c>
      <c r="R790" s="1">
        <v>46195.679768518516</v>
      </c>
      <c r="S790" s="1">
        <v>46206.360960648148</v>
      </c>
    </row>
    <row r="791" spans="1:19" x14ac:dyDescent="0.25">
      <c r="A791">
        <v>2010110002</v>
      </c>
      <c r="B791" t="s">
        <v>28</v>
      </c>
      <c r="C791" t="s">
        <v>29</v>
      </c>
      <c r="D791" t="s">
        <v>1841</v>
      </c>
      <c r="E791" t="s">
        <v>1842</v>
      </c>
      <c r="F791" t="e">
        <f>--ds-btn-loading-primary-border</f>
        <v>#NAME?</v>
      </c>
      <c r="G791" t="s">
        <v>23</v>
      </c>
      <c r="H791" t="s">
        <v>23</v>
      </c>
      <c r="I791" t="s">
        <v>32</v>
      </c>
      <c r="J791" t="s">
        <v>24</v>
      </c>
      <c r="K791" t="s">
        <v>1837</v>
      </c>
      <c r="L791" t="s">
        <v>25</v>
      </c>
      <c r="M791" t="s">
        <v>42</v>
      </c>
      <c r="N791" t="s">
        <v>1838</v>
      </c>
      <c r="O791">
        <v>1</v>
      </c>
      <c r="P791">
        <v>1</v>
      </c>
      <c r="Q791">
        <v>0</v>
      </c>
      <c r="R791" s="1">
        <v>46195.679768518516</v>
      </c>
      <c r="S791" s="1">
        <v>46206.360960648148</v>
      </c>
    </row>
    <row r="792" spans="1:19" x14ac:dyDescent="0.25">
      <c r="A792">
        <v>2010110003</v>
      </c>
      <c r="B792" t="s">
        <v>28</v>
      </c>
      <c r="C792" t="s">
        <v>29</v>
      </c>
      <c r="D792" t="s">
        <v>1843</v>
      </c>
      <c r="E792" t="s">
        <v>1844</v>
      </c>
      <c r="F792" t="e">
        <f>--ds-btn-loading-primary-hover-bg</f>
        <v>#NAME?</v>
      </c>
      <c r="G792" t="s">
        <v>45</v>
      </c>
      <c r="H792" t="s">
        <v>45</v>
      </c>
      <c r="I792" t="s">
        <v>32</v>
      </c>
      <c r="J792" t="s">
        <v>24</v>
      </c>
      <c r="K792" t="s">
        <v>1837</v>
      </c>
      <c r="L792" t="s">
        <v>25</v>
      </c>
      <c r="M792" t="s">
        <v>46</v>
      </c>
      <c r="N792" t="s">
        <v>1838</v>
      </c>
      <c r="O792">
        <v>1</v>
      </c>
      <c r="P792">
        <v>1</v>
      </c>
      <c r="Q792">
        <v>0</v>
      </c>
      <c r="R792" s="1">
        <v>46195.679768518516</v>
      </c>
      <c r="S792" s="1">
        <v>46206.360960648148</v>
      </c>
    </row>
    <row r="793" spans="1:19" x14ac:dyDescent="0.25">
      <c r="A793">
        <v>2010110004</v>
      </c>
      <c r="B793" t="s">
        <v>28</v>
      </c>
      <c r="C793" t="s">
        <v>29</v>
      </c>
      <c r="D793" t="s">
        <v>1845</v>
      </c>
      <c r="E793" t="s">
        <v>1846</v>
      </c>
      <c r="F793" t="e">
        <f>--ds-btn-loading-primary-hover-text</f>
        <v>#NAME?</v>
      </c>
      <c r="G793" t="s">
        <v>37</v>
      </c>
      <c r="H793" t="s">
        <v>37</v>
      </c>
      <c r="I793" t="s">
        <v>32</v>
      </c>
      <c r="J793" t="s">
        <v>24</v>
      </c>
      <c r="K793" t="s">
        <v>1837</v>
      </c>
      <c r="L793" t="s">
        <v>25</v>
      </c>
      <c r="M793" t="s">
        <v>49</v>
      </c>
      <c r="N793" t="s">
        <v>1838</v>
      </c>
      <c r="O793">
        <v>1</v>
      </c>
      <c r="P793">
        <v>1</v>
      </c>
      <c r="Q793">
        <v>0</v>
      </c>
      <c r="R793" s="1">
        <v>46195.679768518516</v>
      </c>
      <c r="S793" s="1">
        <v>46206.360960648148</v>
      </c>
    </row>
    <row r="794" spans="1:19" x14ac:dyDescent="0.25">
      <c r="A794">
        <v>2010110005</v>
      </c>
      <c r="B794" t="s">
        <v>28</v>
      </c>
      <c r="C794" t="s">
        <v>29</v>
      </c>
      <c r="D794" t="s">
        <v>1847</v>
      </c>
      <c r="E794" t="s">
        <v>1848</v>
      </c>
      <c r="F794" t="e">
        <f>--ds-btn-loading-primary-hover-border</f>
        <v>#NAME?</v>
      </c>
      <c r="G794" t="s">
        <v>41</v>
      </c>
      <c r="H794" t="s">
        <v>41</v>
      </c>
      <c r="I794" t="s">
        <v>32</v>
      </c>
      <c r="J794" t="s">
        <v>24</v>
      </c>
      <c r="K794" t="s">
        <v>1837</v>
      </c>
      <c r="L794" t="s">
        <v>25</v>
      </c>
      <c r="M794" t="s">
        <v>53</v>
      </c>
      <c r="N794" t="s">
        <v>1838</v>
      </c>
      <c r="O794">
        <v>1</v>
      </c>
      <c r="P794">
        <v>1</v>
      </c>
      <c r="Q794">
        <v>0</v>
      </c>
      <c r="R794" s="1">
        <v>46195.679768518516</v>
      </c>
      <c r="S794" s="1">
        <v>46206.360960648148</v>
      </c>
    </row>
    <row r="795" spans="1:19" x14ac:dyDescent="0.25">
      <c r="A795">
        <v>2010110006</v>
      </c>
      <c r="B795" t="s">
        <v>28</v>
      </c>
      <c r="C795" t="s">
        <v>29</v>
      </c>
      <c r="D795" t="s">
        <v>1849</v>
      </c>
      <c r="E795" t="s">
        <v>1850</v>
      </c>
      <c r="F795" t="e">
        <f>--ds-btn-loading-primary-disabled-bg</f>
        <v>#NAME?</v>
      </c>
      <c r="G795" t="s">
        <v>56</v>
      </c>
      <c r="H795" t="s">
        <v>56</v>
      </c>
      <c r="I795" t="s">
        <v>32</v>
      </c>
      <c r="J795" t="s">
        <v>24</v>
      </c>
      <c r="K795" t="s">
        <v>1837</v>
      </c>
      <c r="L795" t="s">
        <v>25</v>
      </c>
      <c r="M795" t="s">
        <v>57</v>
      </c>
      <c r="N795" t="s">
        <v>1838</v>
      </c>
      <c r="O795">
        <v>1</v>
      </c>
      <c r="P795">
        <v>1</v>
      </c>
      <c r="Q795">
        <v>0</v>
      </c>
      <c r="R795" s="1">
        <v>46195.679768518516</v>
      </c>
      <c r="S795" s="1">
        <v>46206.360960648148</v>
      </c>
    </row>
    <row r="796" spans="1:19" x14ac:dyDescent="0.25">
      <c r="A796">
        <v>2010110007</v>
      </c>
      <c r="B796" t="s">
        <v>28</v>
      </c>
      <c r="C796" t="s">
        <v>29</v>
      </c>
      <c r="D796" t="s">
        <v>1851</v>
      </c>
      <c r="E796" t="s">
        <v>1852</v>
      </c>
      <c r="F796" t="e">
        <f>--ds-btn-loading-primary-disabled-text</f>
        <v>#NAME?</v>
      </c>
      <c r="G796" t="s">
        <v>60</v>
      </c>
      <c r="H796" t="s">
        <v>60</v>
      </c>
      <c r="I796" t="s">
        <v>32</v>
      </c>
      <c r="J796" t="s">
        <v>24</v>
      </c>
      <c r="K796" t="s">
        <v>1837</v>
      </c>
      <c r="L796" t="s">
        <v>25</v>
      </c>
      <c r="M796" t="s">
        <v>61</v>
      </c>
      <c r="N796" t="s">
        <v>1838</v>
      </c>
      <c r="O796">
        <v>1</v>
      </c>
      <c r="P796">
        <v>1</v>
      </c>
      <c r="Q796">
        <v>0</v>
      </c>
      <c r="R796" s="1">
        <v>46195.679768518516</v>
      </c>
      <c r="S796" s="1">
        <v>46206.360960648148</v>
      </c>
    </row>
    <row r="797" spans="1:19" x14ac:dyDescent="0.25">
      <c r="A797">
        <v>2010110008</v>
      </c>
      <c r="B797" t="s">
        <v>28</v>
      </c>
      <c r="C797" t="s">
        <v>29</v>
      </c>
      <c r="D797" t="s">
        <v>1853</v>
      </c>
      <c r="E797" t="s">
        <v>1854</v>
      </c>
      <c r="F797" t="e">
        <f>--ds-btn-loading-primary-disabled-border</f>
        <v>#NAME?</v>
      </c>
      <c r="G797" t="s">
        <v>64</v>
      </c>
      <c r="H797" t="s">
        <v>64</v>
      </c>
      <c r="I797" t="s">
        <v>32</v>
      </c>
      <c r="J797" t="s">
        <v>24</v>
      </c>
      <c r="K797" t="s">
        <v>1837</v>
      </c>
      <c r="L797" t="s">
        <v>25</v>
      </c>
      <c r="M797" t="s">
        <v>65</v>
      </c>
      <c r="N797" t="s">
        <v>1838</v>
      </c>
      <c r="O797">
        <v>1</v>
      </c>
      <c r="P797">
        <v>1</v>
      </c>
      <c r="Q797">
        <v>0</v>
      </c>
      <c r="R797" s="1">
        <v>46195.679768518516</v>
      </c>
      <c r="S797" s="1">
        <v>46206.360960648148</v>
      </c>
    </row>
    <row r="798" spans="1:19" x14ac:dyDescent="0.25">
      <c r="A798">
        <v>2010110009</v>
      </c>
      <c r="B798" t="s">
        <v>28</v>
      </c>
      <c r="C798" t="s">
        <v>29</v>
      </c>
      <c r="D798" t="s">
        <v>1855</v>
      </c>
      <c r="E798" t="s">
        <v>1856</v>
      </c>
      <c r="F798" t="e">
        <f>--ds-btn-loading-primary-spinner-color</f>
        <v>#NAME?</v>
      </c>
      <c r="G798" t="s">
        <v>37</v>
      </c>
      <c r="H798" t="s">
        <v>37</v>
      </c>
      <c r="I798" t="s">
        <v>32</v>
      </c>
      <c r="J798" t="s">
        <v>24</v>
      </c>
      <c r="K798" t="s">
        <v>1837</v>
      </c>
      <c r="L798" t="s">
        <v>25</v>
      </c>
      <c r="M798" t="s">
        <v>1857</v>
      </c>
      <c r="N798" t="s">
        <v>1838</v>
      </c>
      <c r="O798">
        <v>1</v>
      </c>
      <c r="P798">
        <v>1</v>
      </c>
      <c r="Q798">
        <v>0</v>
      </c>
      <c r="R798" s="1">
        <v>46195.679768518516</v>
      </c>
      <c r="S798" s="1">
        <v>46206.360960648148</v>
      </c>
    </row>
    <row r="799" spans="1:19" x14ac:dyDescent="0.25">
      <c r="A799">
        <v>2010110010</v>
      </c>
      <c r="B799" t="s">
        <v>28</v>
      </c>
      <c r="C799" t="s">
        <v>29</v>
      </c>
      <c r="D799" t="s">
        <v>1858</v>
      </c>
      <c r="E799" t="s">
        <v>1859</v>
      </c>
      <c r="F799" t="e">
        <f>--ds-btn-loading-primary-spinner-size</f>
        <v>#NAME?</v>
      </c>
      <c r="G799" t="s">
        <v>105</v>
      </c>
      <c r="H799" t="s">
        <v>105</v>
      </c>
      <c r="I799" t="s">
        <v>32</v>
      </c>
      <c r="J799" t="s">
        <v>78</v>
      </c>
      <c r="K799" t="s">
        <v>1837</v>
      </c>
      <c r="L799" t="s">
        <v>25</v>
      </c>
      <c r="M799" t="s">
        <v>1860</v>
      </c>
      <c r="N799" t="s">
        <v>1838</v>
      </c>
      <c r="O799">
        <v>1</v>
      </c>
      <c r="P799">
        <v>0</v>
      </c>
      <c r="Q799">
        <v>0</v>
      </c>
      <c r="R799" s="1">
        <v>46195.679768518516</v>
      </c>
      <c r="S799" s="1">
        <v>46206.360960648148</v>
      </c>
    </row>
    <row r="800" spans="1:19" x14ac:dyDescent="0.25">
      <c r="A800">
        <v>2010110011</v>
      </c>
      <c r="B800" t="s">
        <v>28</v>
      </c>
      <c r="C800" t="s">
        <v>29</v>
      </c>
      <c r="D800" t="s">
        <v>1861</v>
      </c>
      <c r="E800" t="s">
        <v>1862</v>
      </c>
      <c r="F800" t="e">
        <f>--ds-btn-loading-primary-padding-x</f>
        <v>#NAME?</v>
      </c>
      <c r="G800" t="s">
        <v>77</v>
      </c>
      <c r="H800" t="s">
        <v>77</v>
      </c>
      <c r="I800" t="s">
        <v>32</v>
      </c>
      <c r="J800" t="s">
        <v>78</v>
      </c>
      <c r="K800" t="s">
        <v>1837</v>
      </c>
      <c r="L800" t="s">
        <v>25</v>
      </c>
      <c r="M800" t="s">
        <v>79</v>
      </c>
      <c r="N800" t="s">
        <v>1838</v>
      </c>
      <c r="O800">
        <v>1</v>
      </c>
      <c r="P800">
        <v>0</v>
      </c>
      <c r="Q800">
        <v>0</v>
      </c>
      <c r="R800" s="1">
        <v>46195.679768518516</v>
      </c>
      <c r="S800" s="1">
        <v>46206.360960648148</v>
      </c>
    </row>
    <row r="801" spans="1:19" x14ac:dyDescent="0.25">
      <c r="A801">
        <v>2010110012</v>
      </c>
      <c r="B801" t="s">
        <v>28</v>
      </c>
      <c r="C801" t="s">
        <v>29</v>
      </c>
      <c r="D801" t="s">
        <v>1863</v>
      </c>
      <c r="E801" t="s">
        <v>1864</v>
      </c>
      <c r="F801" t="e">
        <f>--ds-btn-loading-primary-padding-y</f>
        <v>#NAME?</v>
      </c>
      <c r="G801" t="s">
        <v>82</v>
      </c>
      <c r="H801" t="s">
        <v>82</v>
      </c>
      <c r="I801" t="s">
        <v>32</v>
      </c>
      <c r="J801" t="s">
        <v>78</v>
      </c>
      <c r="K801" t="s">
        <v>1837</v>
      </c>
      <c r="L801" t="s">
        <v>25</v>
      </c>
      <c r="M801" t="s">
        <v>83</v>
      </c>
      <c r="N801" t="s">
        <v>1838</v>
      </c>
      <c r="O801">
        <v>1</v>
      </c>
      <c r="P801">
        <v>0</v>
      </c>
      <c r="Q801">
        <v>0</v>
      </c>
      <c r="R801" s="1">
        <v>46195.679768518516</v>
      </c>
      <c r="S801" s="1">
        <v>46206.360960648148</v>
      </c>
    </row>
    <row r="802" spans="1:19" x14ac:dyDescent="0.25">
      <c r="A802">
        <v>2010110013</v>
      </c>
      <c r="B802" t="s">
        <v>28</v>
      </c>
      <c r="C802" t="s">
        <v>29</v>
      </c>
      <c r="D802" t="s">
        <v>1865</v>
      </c>
      <c r="E802" t="s">
        <v>1866</v>
      </c>
      <c r="F802" t="e">
        <f>--ds-btn-loading-primary-gap</f>
        <v>#NAME?</v>
      </c>
      <c r="G802" t="s">
        <v>86</v>
      </c>
      <c r="H802" t="s">
        <v>86</v>
      </c>
      <c r="I802" t="s">
        <v>32</v>
      </c>
      <c r="J802" t="s">
        <v>78</v>
      </c>
      <c r="K802" t="s">
        <v>1837</v>
      </c>
      <c r="L802" t="s">
        <v>25</v>
      </c>
      <c r="M802" t="s">
        <v>87</v>
      </c>
      <c r="N802" t="s">
        <v>1838</v>
      </c>
      <c r="O802">
        <v>1</v>
      </c>
      <c r="P802">
        <v>0</v>
      </c>
      <c r="Q802">
        <v>0</v>
      </c>
      <c r="R802" s="1">
        <v>46195.679768518516</v>
      </c>
      <c r="S802" s="1">
        <v>46206.360960648148</v>
      </c>
    </row>
    <row r="803" spans="1:19" x14ac:dyDescent="0.25">
      <c r="A803">
        <v>2010110014</v>
      </c>
      <c r="B803" t="s">
        <v>28</v>
      </c>
      <c r="C803" t="s">
        <v>29</v>
      </c>
      <c r="D803" t="s">
        <v>1867</v>
      </c>
      <c r="E803" t="s">
        <v>1868</v>
      </c>
      <c r="F803" t="e">
        <f>--ds-btn-loading-primary-focus-ring</f>
        <v>#NAME?</v>
      </c>
      <c r="G803" t="s">
        <v>90</v>
      </c>
      <c r="H803" t="s">
        <v>90</v>
      </c>
      <c r="I803" t="s">
        <v>32</v>
      </c>
      <c r="J803" t="s">
        <v>69</v>
      </c>
      <c r="K803" t="s">
        <v>1837</v>
      </c>
      <c r="L803" t="s">
        <v>25</v>
      </c>
      <c r="M803" t="s">
        <v>91</v>
      </c>
      <c r="N803" t="s">
        <v>1838</v>
      </c>
      <c r="O803">
        <v>1</v>
      </c>
      <c r="P803">
        <v>0</v>
      </c>
      <c r="Q803">
        <v>0</v>
      </c>
      <c r="R803" s="1">
        <v>46195.679768518516</v>
      </c>
      <c r="S803" s="1">
        <v>46206.360960648148</v>
      </c>
    </row>
    <row r="804" spans="1:19" x14ac:dyDescent="0.25">
      <c r="A804">
        <v>2010110015</v>
      </c>
      <c r="B804" t="s">
        <v>28</v>
      </c>
      <c r="C804" t="s">
        <v>29</v>
      </c>
      <c r="D804" t="s">
        <v>1869</v>
      </c>
      <c r="E804" t="s">
        <v>1870</v>
      </c>
      <c r="F804" t="e">
        <f>--ds-btn-loading-primary-outline</f>
        <v>#NAME?</v>
      </c>
      <c r="G804" t="s">
        <v>94</v>
      </c>
      <c r="H804" t="s">
        <v>94</v>
      </c>
      <c r="I804" t="s">
        <v>32</v>
      </c>
      <c r="J804" t="s">
        <v>69</v>
      </c>
      <c r="K804" t="s">
        <v>1837</v>
      </c>
      <c r="L804" t="s">
        <v>25</v>
      </c>
      <c r="M804" t="s">
        <v>95</v>
      </c>
      <c r="N804" t="s">
        <v>1838</v>
      </c>
      <c r="O804">
        <v>1</v>
      </c>
      <c r="P804">
        <v>0</v>
      </c>
      <c r="Q804">
        <v>0</v>
      </c>
      <c r="R804" s="1">
        <v>46195.679768518516</v>
      </c>
      <c r="S804" s="1">
        <v>46206.360960648148</v>
      </c>
    </row>
    <row r="805" spans="1:19" x14ac:dyDescent="0.25">
      <c r="A805">
        <v>2010110016</v>
      </c>
      <c r="B805" t="s">
        <v>28</v>
      </c>
      <c r="C805" t="s">
        <v>29</v>
      </c>
      <c r="D805" t="s">
        <v>1871</v>
      </c>
      <c r="E805" t="s">
        <v>1872</v>
      </c>
      <c r="F805" t="e">
        <f>--ds-btn-loading-primary-transition</f>
        <v>#NAME?</v>
      </c>
      <c r="G805" t="s">
        <v>98</v>
      </c>
      <c r="H805" t="s">
        <v>98</v>
      </c>
      <c r="I805" t="s">
        <v>32</v>
      </c>
      <c r="J805" t="s">
        <v>69</v>
      </c>
      <c r="K805" t="s">
        <v>1837</v>
      </c>
      <c r="L805" t="s">
        <v>25</v>
      </c>
      <c r="M805" t="s">
        <v>99</v>
      </c>
      <c r="N805" t="s">
        <v>1838</v>
      </c>
      <c r="O805">
        <v>1</v>
      </c>
      <c r="P805">
        <v>0</v>
      </c>
      <c r="Q805">
        <v>0</v>
      </c>
      <c r="R805" s="1">
        <v>46195.679768518516</v>
      </c>
      <c r="S805" s="1">
        <v>46206.360960648148</v>
      </c>
    </row>
    <row r="806" spans="1:19" x14ac:dyDescent="0.25">
      <c r="A806">
        <v>2010110017</v>
      </c>
      <c r="B806" t="s">
        <v>28</v>
      </c>
      <c r="C806" t="s">
        <v>29</v>
      </c>
      <c r="D806" t="s">
        <v>1873</v>
      </c>
      <c r="E806" t="s">
        <v>1874</v>
      </c>
      <c r="F806" t="e">
        <f>--ds-btn-loading-primary-icon-color</f>
        <v>#NAME?</v>
      </c>
      <c r="G806" t="s">
        <v>37</v>
      </c>
      <c r="H806" t="s">
        <v>37</v>
      </c>
      <c r="I806" t="s">
        <v>32</v>
      </c>
      <c r="J806" t="s">
        <v>24</v>
      </c>
      <c r="K806" t="s">
        <v>1837</v>
      </c>
      <c r="L806" t="s">
        <v>25</v>
      </c>
      <c r="M806" t="s">
        <v>102</v>
      </c>
      <c r="N806" t="s">
        <v>1838</v>
      </c>
      <c r="O806">
        <v>1</v>
      </c>
      <c r="P806">
        <v>0</v>
      </c>
      <c r="Q806">
        <v>0</v>
      </c>
      <c r="R806" s="1">
        <v>46195.679768518516</v>
      </c>
      <c r="S806" s="1">
        <v>46206.360960648148</v>
      </c>
    </row>
    <row r="807" spans="1:19" x14ac:dyDescent="0.25">
      <c r="A807">
        <v>2010110018</v>
      </c>
      <c r="B807" t="s">
        <v>28</v>
      </c>
      <c r="C807" t="s">
        <v>29</v>
      </c>
      <c r="D807" t="s">
        <v>1875</v>
      </c>
      <c r="E807" t="s">
        <v>1876</v>
      </c>
      <c r="F807" t="e">
        <f>--ds-btn-loading-primary-icon-size</f>
        <v>#NAME?</v>
      </c>
      <c r="G807" t="s">
        <v>105</v>
      </c>
      <c r="H807" t="s">
        <v>105</v>
      </c>
      <c r="I807" t="s">
        <v>32</v>
      </c>
      <c r="J807" t="s">
        <v>78</v>
      </c>
      <c r="K807" t="s">
        <v>1837</v>
      </c>
      <c r="L807" t="s">
        <v>25</v>
      </c>
      <c r="M807" t="s">
        <v>106</v>
      </c>
      <c r="N807" t="s">
        <v>1838</v>
      </c>
      <c r="O807">
        <v>1</v>
      </c>
      <c r="P807">
        <v>0</v>
      </c>
      <c r="Q807">
        <v>0</v>
      </c>
      <c r="R807" s="1">
        <v>46195.679768518516</v>
      </c>
      <c r="S807" s="1">
        <v>46206.360960648148</v>
      </c>
    </row>
    <row r="808" spans="1:19" x14ac:dyDescent="0.25">
      <c r="A808">
        <v>2010110019</v>
      </c>
      <c r="B808" t="s">
        <v>28</v>
      </c>
      <c r="C808" t="s">
        <v>29</v>
      </c>
      <c r="D808" t="s">
        <v>1877</v>
      </c>
      <c r="E808" t="s">
        <v>1878</v>
      </c>
      <c r="F808" t="e">
        <f>--ds-btn-loading-primary-line-height</f>
        <v>#NAME?</v>
      </c>
      <c r="G808">
        <v>1.2</v>
      </c>
      <c r="H808">
        <v>1.2</v>
      </c>
      <c r="I808" t="s">
        <v>32</v>
      </c>
      <c r="J808" t="s">
        <v>78</v>
      </c>
      <c r="K808" t="s">
        <v>1837</v>
      </c>
      <c r="L808" t="s">
        <v>25</v>
      </c>
      <c r="M808" t="s">
        <v>109</v>
      </c>
      <c r="N808" t="s">
        <v>1838</v>
      </c>
      <c r="O808">
        <v>1</v>
      </c>
      <c r="P808">
        <v>0</v>
      </c>
      <c r="Q808">
        <v>0</v>
      </c>
      <c r="R808" s="1">
        <v>46195.679768518516</v>
      </c>
      <c r="S808" s="1">
        <v>46206.360960648148</v>
      </c>
    </row>
    <row r="809" spans="1:19" x14ac:dyDescent="0.25">
      <c r="A809">
        <v>2010110100</v>
      </c>
      <c r="B809" t="s">
        <v>28</v>
      </c>
      <c r="C809" t="s">
        <v>29</v>
      </c>
      <c r="D809" t="s">
        <v>1879</v>
      </c>
      <c r="E809" t="s">
        <v>1880</v>
      </c>
      <c r="F809" t="e">
        <f>--ds-btn-loading-secondary-bg</f>
        <v>#NAME?</v>
      </c>
      <c r="G809" t="s">
        <v>60</v>
      </c>
      <c r="H809" t="s">
        <v>60</v>
      </c>
      <c r="I809" t="s">
        <v>32</v>
      </c>
      <c r="J809" t="s">
        <v>24</v>
      </c>
      <c r="K809" t="s">
        <v>1837</v>
      </c>
      <c r="L809" t="s">
        <v>113</v>
      </c>
      <c r="M809" t="s">
        <v>26</v>
      </c>
      <c r="N809" t="s">
        <v>1881</v>
      </c>
      <c r="O809">
        <v>1</v>
      </c>
      <c r="P809">
        <v>1</v>
      </c>
      <c r="Q809">
        <v>0</v>
      </c>
      <c r="R809" s="1">
        <v>46195.680011574077</v>
      </c>
      <c r="S809" s="1">
        <v>46206.360960648148</v>
      </c>
    </row>
    <row r="810" spans="1:19" x14ac:dyDescent="0.25">
      <c r="A810">
        <v>2010110101</v>
      </c>
      <c r="B810" t="s">
        <v>28</v>
      </c>
      <c r="C810" t="s">
        <v>29</v>
      </c>
      <c r="D810" t="s">
        <v>1882</v>
      </c>
      <c r="E810" t="s">
        <v>1883</v>
      </c>
      <c r="F810" t="e">
        <f>--ds-btn-loading-secondary-text</f>
        <v>#NAME?</v>
      </c>
      <c r="G810" t="s">
        <v>37</v>
      </c>
      <c r="H810" t="s">
        <v>37</v>
      </c>
      <c r="I810" t="s">
        <v>32</v>
      </c>
      <c r="J810" t="s">
        <v>24</v>
      </c>
      <c r="K810" t="s">
        <v>1837</v>
      </c>
      <c r="L810" t="s">
        <v>113</v>
      </c>
      <c r="M810" t="s">
        <v>38</v>
      </c>
      <c r="N810" t="s">
        <v>1881</v>
      </c>
      <c r="O810">
        <v>1</v>
      </c>
      <c r="P810">
        <v>1</v>
      </c>
      <c r="Q810">
        <v>0</v>
      </c>
      <c r="R810" s="1">
        <v>46195.680011574077</v>
      </c>
      <c r="S810" s="1">
        <v>46206.360960648148</v>
      </c>
    </row>
    <row r="811" spans="1:19" x14ac:dyDescent="0.25">
      <c r="A811">
        <v>2010110102</v>
      </c>
      <c r="B811" t="s">
        <v>28</v>
      </c>
      <c r="C811" t="s">
        <v>29</v>
      </c>
      <c r="D811" t="s">
        <v>1884</v>
      </c>
      <c r="E811" t="s">
        <v>1885</v>
      </c>
      <c r="F811" t="e">
        <f>--ds-btn-loading-secondary-border</f>
        <v>#NAME?</v>
      </c>
      <c r="G811" t="s">
        <v>60</v>
      </c>
      <c r="H811" t="s">
        <v>60</v>
      </c>
      <c r="I811" t="s">
        <v>32</v>
      </c>
      <c r="J811" t="s">
        <v>24</v>
      </c>
      <c r="K811" t="s">
        <v>1837</v>
      </c>
      <c r="L811" t="s">
        <v>113</v>
      </c>
      <c r="M811" t="s">
        <v>42</v>
      </c>
      <c r="N811" t="s">
        <v>1881</v>
      </c>
      <c r="O811">
        <v>1</v>
      </c>
      <c r="P811">
        <v>1</v>
      </c>
      <c r="Q811">
        <v>0</v>
      </c>
      <c r="R811" s="1">
        <v>46195.680011574077</v>
      </c>
      <c r="S811" s="1">
        <v>46206.360960648148</v>
      </c>
    </row>
    <row r="812" spans="1:19" x14ac:dyDescent="0.25">
      <c r="A812">
        <v>2010110103</v>
      </c>
      <c r="B812" t="s">
        <v>28</v>
      </c>
      <c r="C812" t="s">
        <v>29</v>
      </c>
      <c r="D812" t="s">
        <v>1886</v>
      </c>
      <c r="E812" t="s">
        <v>1887</v>
      </c>
      <c r="F812" t="e">
        <f>--ds-btn-loading-secondary-hover-bg</f>
        <v>#NAME?</v>
      </c>
      <c r="G812" t="s">
        <v>874</v>
      </c>
      <c r="H812" t="s">
        <v>874</v>
      </c>
      <c r="I812" t="s">
        <v>32</v>
      </c>
      <c r="J812" t="s">
        <v>24</v>
      </c>
      <c r="K812" t="s">
        <v>1837</v>
      </c>
      <c r="L812" t="s">
        <v>113</v>
      </c>
      <c r="M812" t="s">
        <v>46</v>
      </c>
      <c r="N812" t="s">
        <v>1881</v>
      </c>
      <c r="O812">
        <v>1</v>
      </c>
      <c r="P812">
        <v>1</v>
      </c>
      <c r="Q812">
        <v>0</v>
      </c>
      <c r="R812" s="1">
        <v>46195.680011574077</v>
      </c>
      <c r="S812" s="1">
        <v>46206.360960648148</v>
      </c>
    </row>
    <row r="813" spans="1:19" x14ac:dyDescent="0.25">
      <c r="A813">
        <v>2010110104</v>
      </c>
      <c r="B813" t="s">
        <v>28</v>
      </c>
      <c r="C813" t="s">
        <v>29</v>
      </c>
      <c r="D813" t="s">
        <v>1888</v>
      </c>
      <c r="E813" t="s">
        <v>1889</v>
      </c>
      <c r="F813" t="e">
        <f>--ds-btn-loading-secondary-hover-text</f>
        <v>#NAME?</v>
      </c>
      <c r="G813" t="s">
        <v>37</v>
      </c>
      <c r="H813" t="s">
        <v>37</v>
      </c>
      <c r="I813" t="s">
        <v>32</v>
      </c>
      <c r="J813" t="s">
        <v>24</v>
      </c>
      <c r="K813" t="s">
        <v>1837</v>
      </c>
      <c r="L813" t="s">
        <v>113</v>
      </c>
      <c r="M813" t="s">
        <v>49</v>
      </c>
      <c r="N813" t="s">
        <v>1881</v>
      </c>
      <c r="O813">
        <v>1</v>
      </c>
      <c r="P813">
        <v>1</v>
      </c>
      <c r="Q813">
        <v>0</v>
      </c>
      <c r="R813" s="1">
        <v>46195.680011574077</v>
      </c>
      <c r="S813" s="1">
        <v>46206.360960648148</v>
      </c>
    </row>
    <row r="814" spans="1:19" x14ac:dyDescent="0.25">
      <c r="A814">
        <v>2010110105</v>
      </c>
      <c r="B814" t="s">
        <v>28</v>
      </c>
      <c r="C814" t="s">
        <v>29</v>
      </c>
      <c r="D814" t="s">
        <v>1890</v>
      </c>
      <c r="E814" t="s">
        <v>1891</v>
      </c>
      <c r="F814" t="e">
        <f>--ds-btn-loading-secondary-hover-border</f>
        <v>#NAME?</v>
      </c>
      <c r="G814" t="s">
        <v>871</v>
      </c>
      <c r="H814" t="s">
        <v>871</v>
      </c>
      <c r="I814" t="s">
        <v>32</v>
      </c>
      <c r="J814" t="s">
        <v>24</v>
      </c>
      <c r="K814" t="s">
        <v>1837</v>
      </c>
      <c r="L814" t="s">
        <v>113</v>
      </c>
      <c r="M814" t="s">
        <v>53</v>
      </c>
      <c r="N814" t="s">
        <v>1881</v>
      </c>
      <c r="O814">
        <v>1</v>
      </c>
      <c r="P814">
        <v>1</v>
      </c>
      <c r="Q814">
        <v>0</v>
      </c>
      <c r="R814" s="1">
        <v>46195.680011574077</v>
      </c>
      <c r="S814" s="1">
        <v>46206.360960648148</v>
      </c>
    </row>
    <row r="815" spans="1:19" x14ac:dyDescent="0.25">
      <c r="A815">
        <v>2010110106</v>
      </c>
      <c r="B815" t="s">
        <v>28</v>
      </c>
      <c r="C815" t="s">
        <v>29</v>
      </c>
      <c r="D815" t="s">
        <v>1892</v>
      </c>
      <c r="E815" t="s">
        <v>1893</v>
      </c>
      <c r="F815" t="e">
        <f>--ds-btn-loading-secondary-disabled-bg</f>
        <v>#NAME?</v>
      </c>
      <c r="G815" t="s">
        <v>432</v>
      </c>
      <c r="H815" t="s">
        <v>432</v>
      </c>
      <c r="I815" t="s">
        <v>32</v>
      </c>
      <c r="J815" t="s">
        <v>24</v>
      </c>
      <c r="K815" t="s">
        <v>1837</v>
      </c>
      <c r="L815" t="s">
        <v>113</v>
      </c>
      <c r="M815" t="s">
        <v>57</v>
      </c>
      <c r="N815" t="s">
        <v>1881</v>
      </c>
      <c r="O815">
        <v>1</v>
      </c>
      <c r="P815">
        <v>1</v>
      </c>
      <c r="Q815">
        <v>0</v>
      </c>
      <c r="R815" s="1">
        <v>46195.680011574077</v>
      </c>
      <c r="S815" s="1">
        <v>46206.360960648148</v>
      </c>
    </row>
    <row r="816" spans="1:19" x14ac:dyDescent="0.25">
      <c r="A816">
        <v>2010110107</v>
      </c>
      <c r="B816" t="s">
        <v>28</v>
      </c>
      <c r="C816" t="s">
        <v>29</v>
      </c>
      <c r="D816" t="s">
        <v>1894</v>
      </c>
      <c r="E816" t="s">
        <v>1895</v>
      </c>
      <c r="F816" t="e">
        <f>--ds-btn-loading-secondary-disabled-text</f>
        <v>#NAME?</v>
      </c>
      <c r="G816" t="s">
        <v>60</v>
      </c>
      <c r="H816" t="s">
        <v>60</v>
      </c>
      <c r="I816" t="s">
        <v>32</v>
      </c>
      <c r="J816" t="s">
        <v>24</v>
      </c>
      <c r="K816" t="s">
        <v>1837</v>
      </c>
      <c r="L816" t="s">
        <v>113</v>
      </c>
      <c r="M816" t="s">
        <v>61</v>
      </c>
      <c r="N816" t="s">
        <v>1881</v>
      </c>
      <c r="O816">
        <v>1</v>
      </c>
      <c r="P816">
        <v>1</v>
      </c>
      <c r="Q816">
        <v>0</v>
      </c>
      <c r="R816" s="1">
        <v>46195.680011574077</v>
      </c>
      <c r="S816" s="1">
        <v>46206.360960648148</v>
      </c>
    </row>
    <row r="817" spans="1:19" x14ac:dyDescent="0.25">
      <c r="A817">
        <v>2010110108</v>
      </c>
      <c r="B817" t="s">
        <v>28</v>
      </c>
      <c r="C817" t="s">
        <v>29</v>
      </c>
      <c r="D817" t="s">
        <v>1896</v>
      </c>
      <c r="E817" t="s">
        <v>1897</v>
      </c>
      <c r="F817" t="e">
        <f>--ds-btn-loading-secondary-disabled-border</f>
        <v>#NAME?</v>
      </c>
      <c r="G817" t="s">
        <v>447</v>
      </c>
      <c r="H817" t="s">
        <v>447</v>
      </c>
      <c r="I817" t="s">
        <v>32</v>
      </c>
      <c r="J817" t="s">
        <v>24</v>
      </c>
      <c r="K817" t="s">
        <v>1837</v>
      </c>
      <c r="L817" t="s">
        <v>113</v>
      </c>
      <c r="M817" t="s">
        <v>65</v>
      </c>
      <c r="N817" t="s">
        <v>1881</v>
      </c>
      <c r="O817">
        <v>1</v>
      </c>
      <c r="P817">
        <v>1</v>
      </c>
      <c r="Q817">
        <v>0</v>
      </c>
      <c r="R817" s="1">
        <v>46195.680011574077</v>
      </c>
      <c r="S817" s="1">
        <v>46206.360960648148</v>
      </c>
    </row>
    <row r="818" spans="1:19" x14ac:dyDescent="0.25">
      <c r="A818">
        <v>2010110109</v>
      </c>
      <c r="B818" t="s">
        <v>28</v>
      </c>
      <c r="C818" t="s">
        <v>29</v>
      </c>
      <c r="D818" t="s">
        <v>1898</v>
      </c>
      <c r="E818" t="s">
        <v>1899</v>
      </c>
      <c r="F818" t="e">
        <f>--ds-btn-loading-secondary-spinner-color</f>
        <v>#NAME?</v>
      </c>
      <c r="G818" t="s">
        <v>37</v>
      </c>
      <c r="H818" t="s">
        <v>37</v>
      </c>
      <c r="I818" t="s">
        <v>32</v>
      </c>
      <c r="J818" t="s">
        <v>24</v>
      </c>
      <c r="K818" t="s">
        <v>1837</v>
      </c>
      <c r="L818" t="s">
        <v>113</v>
      </c>
      <c r="M818" t="s">
        <v>1857</v>
      </c>
      <c r="N818" t="s">
        <v>1881</v>
      </c>
      <c r="O818">
        <v>1</v>
      </c>
      <c r="P818">
        <v>1</v>
      </c>
      <c r="Q818">
        <v>0</v>
      </c>
      <c r="R818" s="1">
        <v>46195.680011574077</v>
      </c>
      <c r="S818" s="1">
        <v>46206.360960648148</v>
      </c>
    </row>
    <row r="819" spans="1:19" x14ac:dyDescent="0.25">
      <c r="A819">
        <v>2010110110</v>
      </c>
      <c r="B819" t="s">
        <v>28</v>
      </c>
      <c r="C819" t="s">
        <v>29</v>
      </c>
      <c r="D819" t="s">
        <v>1900</v>
      </c>
      <c r="E819" t="s">
        <v>1901</v>
      </c>
      <c r="F819" t="e">
        <f>--ds-btn-loading-secondary-spinner-size</f>
        <v>#NAME?</v>
      </c>
      <c r="G819" t="s">
        <v>105</v>
      </c>
      <c r="H819" t="s">
        <v>105</v>
      </c>
      <c r="I819" t="s">
        <v>32</v>
      </c>
      <c r="J819" t="s">
        <v>78</v>
      </c>
      <c r="K819" t="s">
        <v>1837</v>
      </c>
      <c r="L819" t="s">
        <v>113</v>
      </c>
      <c r="M819" t="s">
        <v>1860</v>
      </c>
      <c r="N819" t="s">
        <v>1881</v>
      </c>
      <c r="O819">
        <v>1</v>
      </c>
      <c r="P819">
        <v>0</v>
      </c>
      <c r="Q819">
        <v>0</v>
      </c>
      <c r="R819" s="1">
        <v>46195.680011574077</v>
      </c>
      <c r="S819" s="1">
        <v>46206.360960648148</v>
      </c>
    </row>
    <row r="820" spans="1:19" x14ac:dyDescent="0.25">
      <c r="A820">
        <v>2010110111</v>
      </c>
      <c r="B820" t="s">
        <v>28</v>
      </c>
      <c r="C820" t="s">
        <v>29</v>
      </c>
      <c r="D820" t="s">
        <v>1902</v>
      </c>
      <c r="E820" t="s">
        <v>1903</v>
      </c>
      <c r="F820" t="e">
        <f>--ds-btn-loading-secondary-padding-x</f>
        <v>#NAME?</v>
      </c>
      <c r="G820" t="s">
        <v>77</v>
      </c>
      <c r="H820" t="s">
        <v>77</v>
      </c>
      <c r="I820" t="s">
        <v>32</v>
      </c>
      <c r="J820" t="s">
        <v>78</v>
      </c>
      <c r="K820" t="s">
        <v>1837</v>
      </c>
      <c r="L820" t="s">
        <v>113</v>
      </c>
      <c r="M820" t="s">
        <v>79</v>
      </c>
      <c r="N820" t="s">
        <v>1881</v>
      </c>
      <c r="O820">
        <v>1</v>
      </c>
      <c r="P820">
        <v>0</v>
      </c>
      <c r="Q820">
        <v>0</v>
      </c>
      <c r="R820" s="1">
        <v>46195.680011574077</v>
      </c>
      <c r="S820" s="1">
        <v>46206.360960648148</v>
      </c>
    </row>
    <row r="821" spans="1:19" x14ac:dyDescent="0.25">
      <c r="A821">
        <v>2010110112</v>
      </c>
      <c r="B821" t="s">
        <v>28</v>
      </c>
      <c r="C821" t="s">
        <v>29</v>
      </c>
      <c r="D821" t="s">
        <v>1904</v>
      </c>
      <c r="E821" t="s">
        <v>1905</v>
      </c>
      <c r="F821" t="e">
        <f>--ds-btn-loading-secondary-padding-y</f>
        <v>#NAME?</v>
      </c>
      <c r="G821" t="s">
        <v>82</v>
      </c>
      <c r="H821" t="s">
        <v>82</v>
      </c>
      <c r="I821" t="s">
        <v>32</v>
      </c>
      <c r="J821" t="s">
        <v>78</v>
      </c>
      <c r="K821" t="s">
        <v>1837</v>
      </c>
      <c r="L821" t="s">
        <v>113</v>
      </c>
      <c r="M821" t="s">
        <v>83</v>
      </c>
      <c r="N821" t="s">
        <v>1881</v>
      </c>
      <c r="O821">
        <v>1</v>
      </c>
      <c r="P821">
        <v>0</v>
      </c>
      <c r="Q821">
        <v>0</v>
      </c>
      <c r="R821" s="1">
        <v>46195.680011574077</v>
      </c>
      <c r="S821" s="1">
        <v>46206.360960648148</v>
      </c>
    </row>
    <row r="822" spans="1:19" x14ac:dyDescent="0.25">
      <c r="A822">
        <v>2010110113</v>
      </c>
      <c r="B822" t="s">
        <v>28</v>
      </c>
      <c r="C822" t="s">
        <v>29</v>
      </c>
      <c r="D822" t="s">
        <v>1906</v>
      </c>
      <c r="E822" t="s">
        <v>1907</v>
      </c>
      <c r="F822" t="e">
        <f>--ds-btn-loading-secondary-gap</f>
        <v>#NAME?</v>
      </c>
      <c r="G822" t="s">
        <v>86</v>
      </c>
      <c r="H822" t="s">
        <v>86</v>
      </c>
      <c r="I822" t="s">
        <v>32</v>
      </c>
      <c r="J822" t="s">
        <v>78</v>
      </c>
      <c r="K822" t="s">
        <v>1837</v>
      </c>
      <c r="L822" t="s">
        <v>113</v>
      </c>
      <c r="M822" t="s">
        <v>87</v>
      </c>
      <c r="N822" t="s">
        <v>1881</v>
      </c>
      <c r="O822">
        <v>1</v>
      </c>
      <c r="P822">
        <v>0</v>
      </c>
      <c r="Q822">
        <v>0</v>
      </c>
      <c r="R822" s="1">
        <v>46195.680011574077</v>
      </c>
      <c r="S822" s="1">
        <v>46206.360960648148</v>
      </c>
    </row>
    <row r="823" spans="1:19" x14ac:dyDescent="0.25">
      <c r="A823">
        <v>2010110114</v>
      </c>
      <c r="B823" t="s">
        <v>28</v>
      </c>
      <c r="C823" t="s">
        <v>29</v>
      </c>
      <c r="D823" t="s">
        <v>1908</v>
      </c>
      <c r="E823" t="s">
        <v>1909</v>
      </c>
      <c r="F823" t="e">
        <f>--ds-btn-loading-secondary-focus-ring</f>
        <v>#NAME?</v>
      </c>
      <c r="G823" t="s">
        <v>1230</v>
      </c>
      <c r="H823" t="s">
        <v>1230</v>
      </c>
      <c r="I823" t="s">
        <v>32</v>
      </c>
      <c r="J823" t="s">
        <v>69</v>
      </c>
      <c r="K823" t="s">
        <v>1837</v>
      </c>
      <c r="L823" t="s">
        <v>113</v>
      </c>
      <c r="M823" t="s">
        <v>91</v>
      </c>
      <c r="N823" t="s">
        <v>1881</v>
      </c>
      <c r="O823">
        <v>1</v>
      </c>
      <c r="P823">
        <v>0</v>
      </c>
      <c r="Q823">
        <v>0</v>
      </c>
      <c r="R823" s="1">
        <v>46195.680011574077</v>
      </c>
      <c r="S823" s="1">
        <v>46206.360960648148</v>
      </c>
    </row>
    <row r="824" spans="1:19" x14ac:dyDescent="0.25">
      <c r="A824">
        <v>2010110115</v>
      </c>
      <c r="B824" t="s">
        <v>28</v>
      </c>
      <c r="C824" t="s">
        <v>29</v>
      </c>
      <c r="D824" t="s">
        <v>1910</v>
      </c>
      <c r="E824" t="s">
        <v>1911</v>
      </c>
      <c r="F824" t="e">
        <f>--ds-btn-loading-secondary-outline</f>
        <v>#NAME?</v>
      </c>
      <c r="G824" t="s">
        <v>94</v>
      </c>
      <c r="H824" t="s">
        <v>94</v>
      </c>
      <c r="I824" t="s">
        <v>32</v>
      </c>
      <c r="J824" t="s">
        <v>69</v>
      </c>
      <c r="K824" t="s">
        <v>1837</v>
      </c>
      <c r="L824" t="s">
        <v>113</v>
      </c>
      <c r="M824" t="s">
        <v>95</v>
      </c>
      <c r="N824" t="s">
        <v>1881</v>
      </c>
      <c r="O824">
        <v>1</v>
      </c>
      <c r="P824">
        <v>0</v>
      </c>
      <c r="Q824">
        <v>0</v>
      </c>
      <c r="R824" s="1">
        <v>46195.680011574077</v>
      </c>
      <c r="S824" s="1">
        <v>46206.360960648148</v>
      </c>
    </row>
    <row r="825" spans="1:19" x14ac:dyDescent="0.25">
      <c r="A825">
        <v>2010110116</v>
      </c>
      <c r="B825" t="s">
        <v>28</v>
      </c>
      <c r="C825" t="s">
        <v>29</v>
      </c>
      <c r="D825" t="s">
        <v>1912</v>
      </c>
      <c r="E825" t="s">
        <v>1913</v>
      </c>
      <c r="F825" t="e">
        <f>--ds-btn-loading-secondary-transition</f>
        <v>#NAME?</v>
      </c>
      <c r="G825" t="s">
        <v>98</v>
      </c>
      <c r="H825" t="s">
        <v>98</v>
      </c>
      <c r="I825" t="s">
        <v>32</v>
      </c>
      <c r="J825" t="s">
        <v>69</v>
      </c>
      <c r="K825" t="s">
        <v>1837</v>
      </c>
      <c r="L825" t="s">
        <v>113</v>
      </c>
      <c r="M825" t="s">
        <v>99</v>
      </c>
      <c r="N825" t="s">
        <v>1881</v>
      </c>
      <c r="O825">
        <v>1</v>
      </c>
      <c r="P825">
        <v>0</v>
      </c>
      <c r="Q825">
        <v>0</v>
      </c>
      <c r="R825" s="1">
        <v>46195.680011574077</v>
      </c>
      <c r="S825" s="1">
        <v>46206.360960648148</v>
      </c>
    </row>
    <row r="826" spans="1:19" x14ac:dyDescent="0.25">
      <c r="A826">
        <v>2010110117</v>
      </c>
      <c r="B826" t="s">
        <v>28</v>
      </c>
      <c r="C826" t="s">
        <v>29</v>
      </c>
      <c r="D826" t="s">
        <v>1914</v>
      </c>
      <c r="E826" t="s">
        <v>1915</v>
      </c>
      <c r="F826" t="e">
        <f>--ds-btn-loading-secondary-icon-color</f>
        <v>#NAME?</v>
      </c>
      <c r="G826" t="s">
        <v>37</v>
      </c>
      <c r="H826" t="s">
        <v>37</v>
      </c>
      <c r="I826" t="s">
        <v>32</v>
      </c>
      <c r="J826" t="s">
        <v>24</v>
      </c>
      <c r="K826" t="s">
        <v>1837</v>
      </c>
      <c r="L826" t="s">
        <v>113</v>
      </c>
      <c r="M826" t="s">
        <v>102</v>
      </c>
      <c r="N826" t="s">
        <v>1881</v>
      </c>
      <c r="O826">
        <v>1</v>
      </c>
      <c r="P826">
        <v>0</v>
      </c>
      <c r="Q826">
        <v>0</v>
      </c>
      <c r="R826" s="1">
        <v>46195.680011574077</v>
      </c>
      <c r="S826" s="1">
        <v>46206.360960648148</v>
      </c>
    </row>
    <row r="827" spans="1:19" x14ac:dyDescent="0.25">
      <c r="A827">
        <v>2010110118</v>
      </c>
      <c r="B827" t="s">
        <v>28</v>
      </c>
      <c r="C827" t="s">
        <v>29</v>
      </c>
      <c r="D827" t="s">
        <v>1916</v>
      </c>
      <c r="E827" t="s">
        <v>1917</v>
      </c>
      <c r="F827" t="e">
        <f>--ds-btn-loading-secondary-icon-size</f>
        <v>#NAME?</v>
      </c>
      <c r="G827" t="s">
        <v>105</v>
      </c>
      <c r="H827" t="s">
        <v>105</v>
      </c>
      <c r="I827" t="s">
        <v>32</v>
      </c>
      <c r="J827" t="s">
        <v>78</v>
      </c>
      <c r="K827" t="s">
        <v>1837</v>
      </c>
      <c r="L827" t="s">
        <v>113</v>
      </c>
      <c r="M827" t="s">
        <v>106</v>
      </c>
      <c r="N827" t="s">
        <v>1881</v>
      </c>
      <c r="O827">
        <v>1</v>
      </c>
      <c r="P827">
        <v>0</v>
      </c>
      <c r="Q827">
        <v>0</v>
      </c>
      <c r="R827" s="1">
        <v>46195.680011574077</v>
      </c>
      <c r="S827" s="1">
        <v>46206.360960648148</v>
      </c>
    </row>
    <row r="828" spans="1:19" x14ac:dyDescent="0.25">
      <c r="A828">
        <v>2010110119</v>
      </c>
      <c r="B828" t="s">
        <v>28</v>
      </c>
      <c r="C828" t="s">
        <v>29</v>
      </c>
      <c r="D828" t="s">
        <v>1918</v>
      </c>
      <c r="E828" t="s">
        <v>1919</v>
      </c>
      <c r="F828" t="e">
        <f>--ds-btn-loading-secondary-line-height</f>
        <v>#NAME?</v>
      </c>
      <c r="G828">
        <v>1.2</v>
      </c>
      <c r="H828">
        <v>1.2</v>
      </c>
      <c r="I828" t="s">
        <v>32</v>
      </c>
      <c r="J828" t="s">
        <v>78</v>
      </c>
      <c r="K828" t="s">
        <v>1837</v>
      </c>
      <c r="L828" t="s">
        <v>113</v>
      </c>
      <c r="M828" t="s">
        <v>109</v>
      </c>
      <c r="N828" t="s">
        <v>1881</v>
      </c>
      <c r="O828">
        <v>1</v>
      </c>
      <c r="P828">
        <v>0</v>
      </c>
      <c r="Q828">
        <v>0</v>
      </c>
      <c r="R828" s="1">
        <v>46195.680011574077</v>
      </c>
      <c r="S828" s="1">
        <v>46206.360960648148</v>
      </c>
    </row>
    <row r="829" spans="1:19" x14ac:dyDescent="0.25">
      <c r="A829">
        <v>2010110200</v>
      </c>
      <c r="B829" t="s">
        <v>28</v>
      </c>
      <c r="C829" t="s">
        <v>29</v>
      </c>
      <c r="D829" t="s">
        <v>1920</v>
      </c>
      <c r="E829" t="s">
        <v>1921</v>
      </c>
      <c r="F829" t="e">
        <f>--ds-btn-loading-success-bg</f>
        <v>#NAME?</v>
      </c>
      <c r="G829" t="s">
        <v>138</v>
      </c>
      <c r="H829" t="s">
        <v>138</v>
      </c>
      <c r="I829" t="s">
        <v>32</v>
      </c>
      <c r="J829" t="s">
        <v>24</v>
      </c>
      <c r="K829" t="s">
        <v>1837</v>
      </c>
      <c r="L829" t="s">
        <v>139</v>
      </c>
      <c r="M829" t="s">
        <v>26</v>
      </c>
      <c r="N829" t="s">
        <v>1922</v>
      </c>
      <c r="O829">
        <v>1</v>
      </c>
      <c r="P829">
        <v>1</v>
      </c>
      <c r="Q829">
        <v>0</v>
      </c>
      <c r="R829" s="1">
        <v>46195.680509259262</v>
      </c>
      <c r="S829" s="1">
        <v>46206.360960648148</v>
      </c>
    </row>
    <row r="830" spans="1:19" x14ac:dyDescent="0.25">
      <c r="A830">
        <v>2010110201</v>
      </c>
      <c r="B830" t="s">
        <v>28</v>
      </c>
      <c r="C830" t="s">
        <v>29</v>
      </c>
      <c r="D830" t="s">
        <v>1923</v>
      </c>
      <c r="E830" t="s">
        <v>1924</v>
      </c>
      <c r="F830" t="e">
        <f>--ds-btn-loading-success-text</f>
        <v>#NAME?</v>
      </c>
      <c r="G830" t="s">
        <v>37</v>
      </c>
      <c r="H830" t="s">
        <v>37</v>
      </c>
      <c r="I830" t="s">
        <v>32</v>
      </c>
      <c r="J830" t="s">
        <v>24</v>
      </c>
      <c r="K830" t="s">
        <v>1837</v>
      </c>
      <c r="L830" t="s">
        <v>139</v>
      </c>
      <c r="M830" t="s">
        <v>38</v>
      </c>
      <c r="N830" t="s">
        <v>1922</v>
      </c>
      <c r="O830">
        <v>1</v>
      </c>
      <c r="P830">
        <v>1</v>
      </c>
      <c r="Q830">
        <v>0</v>
      </c>
      <c r="R830" s="1">
        <v>46195.680509259262</v>
      </c>
      <c r="S830" s="1">
        <v>46206.360960648148</v>
      </c>
    </row>
    <row r="831" spans="1:19" x14ac:dyDescent="0.25">
      <c r="A831">
        <v>2010110202</v>
      </c>
      <c r="B831" t="s">
        <v>28</v>
      </c>
      <c r="C831" t="s">
        <v>29</v>
      </c>
      <c r="D831" t="s">
        <v>1925</v>
      </c>
      <c r="E831" t="s">
        <v>1926</v>
      </c>
      <c r="F831" t="e">
        <f>--ds-btn-loading-success-border</f>
        <v>#NAME?</v>
      </c>
      <c r="G831" t="s">
        <v>138</v>
      </c>
      <c r="H831" t="s">
        <v>138</v>
      </c>
      <c r="I831" t="s">
        <v>32</v>
      </c>
      <c r="J831" t="s">
        <v>24</v>
      </c>
      <c r="K831" t="s">
        <v>1837</v>
      </c>
      <c r="L831" t="s">
        <v>139</v>
      </c>
      <c r="M831" t="s">
        <v>42</v>
      </c>
      <c r="N831" t="s">
        <v>1922</v>
      </c>
      <c r="O831">
        <v>1</v>
      </c>
      <c r="P831">
        <v>1</v>
      </c>
      <c r="Q831">
        <v>0</v>
      </c>
      <c r="R831" s="1">
        <v>46195.680509259262</v>
      </c>
      <c r="S831" s="1">
        <v>46206.360960648148</v>
      </c>
    </row>
    <row r="832" spans="1:19" x14ac:dyDescent="0.25">
      <c r="A832">
        <v>2010110203</v>
      </c>
      <c r="B832" t="s">
        <v>28</v>
      </c>
      <c r="C832" t="s">
        <v>29</v>
      </c>
      <c r="D832" t="s">
        <v>1927</v>
      </c>
      <c r="E832" t="s">
        <v>1928</v>
      </c>
      <c r="F832" t="e">
        <f>--ds-btn-loading-success-hover-bg</f>
        <v>#NAME?</v>
      </c>
      <c r="G832" t="s">
        <v>147</v>
      </c>
      <c r="H832" t="s">
        <v>147</v>
      </c>
      <c r="I832" t="s">
        <v>32</v>
      </c>
      <c r="J832" t="s">
        <v>24</v>
      </c>
      <c r="K832" t="s">
        <v>1837</v>
      </c>
      <c r="L832" t="s">
        <v>139</v>
      </c>
      <c r="M832" t="s">
        <v>46</v>
      </c>
      <c r="N832" t="s">
        <v>1922</v>
      </c>
      <c r="O832">
        <v>1</v>
      </c>
      <c r="P832">
        <v>1</v>
      </c>
      <c r="Q832">
        <v>0</v>
      </c>
      <c r="R832" s="1">
        <v>46195.680509259262</v>
      </c>
      <c r="S832" s="1">
        <v>46206.360960648148</v>
      </c>
    </row>
    <row r="833" spans="1:19" x14ac:dyDescent="0.25">
      <c r="A833">
        <v>2010110204</v>
      </c>
      <c r="B833" t="s">
        <v>28</v>
      </c>
      <c r="C833" t="s">
        <v>29</v>
      </c>
      <c r="D833" t="s">
        <v>1929</v>
      </c>
      <c r="E833" t="s">
        <v>1930</v>
      </c>
      <c r="F833" t="e">
        <f>--ds-btn-loading-success-hover-text</f>
        <v>#NAME?</v>
      </c>
      <c r="G833" t="s">
        <v>37</v>
      </c>
      <c r="H833" t="s">
        <v>37</v>
      </c>
      <c r="I833" t="s">
        <v>32</v>
      </c>
      <c r="J833" t="s">
        <v>24</v>
      </c>
      <c r="K833" t="s">
        <v>1837</v>
      </c>
      <c r="L833" t="s">
        <v>139</v>
      </c>
      <c r="M833" t="s">
        <v>49</v>
      </c>
      <c r="N833" t="s">
        <v>1922</v>
      </c>
      <c r="O833">
        <v>1</v>
      </c>
      <c r="P833">
        <v>1</v>
      </c>
      <c r="Q833">
        <v>0</v>
      </c>
      <c r="R833" s="1">
        <v>46195.680509259262</v>
      </c>
      <c r="S833" s="1">
        <v>46206.360960648148</v>
      </c>
    </row>
    <row r="834" spans="1:19" x14ac:dyDescent="0.25">
      <c r="A834">
        <v>2010110205</v>
      </c>
      <c r="B834" t="s">
        <v>28</v>
      </c>
      <c r="C834" t="s">
        <v>29</v>
      </c>
      <c r="D834" t="s">
        <v>1931</v>
      </c>
      <c r="E834" t="s">
        <v>1932</v>
      </c>
      <c r="F834" t="e">
        <f>--ds-btn-loading-success-hover-border</f>
        <v>#NAME?</v>
      </c>
      <c r="G834" t="s">
        <v>622</v>
      </c>
      <c r="H834" t="s">
        <v>622</v>
      </c>
      <c r="I834" t="s">
        <v>32</v>
      </c>
      <c r="J834" t="s">
        <v>24</v>
      </c>
      <c r="K834" t="s">
        <v>1837</v>
      </c>
      <c r="L834" t="s">
        <v>139</v>
      </c>
      <c r="M834" t="s">
        <v>53</v>
      </c>
      <c r="N834" t="s">
        <v>1922</v>
      </c>
      <c r="O834">
        <v>1</v>
      </c>
      <c r="P834">
        <v>1</v>
      </c>
      <c r="Q834">
        <v>0</v>
      </c>
      <c r="R834" s="1">
        <v>46195.680509259262</v>
      </c>
      <c r="S834" s="1">
        <v>46206.360960648148</v>
      </c>
    </row>
    <row r="835" spans="1:19" x14ac:dyDescent="0.25">
      <c r="A835">
        <v>2010110206</v>
      </c>
      <c r="B835" t="s">
        <v>28</v>
      </c>
      <c r="C835" t="s">
        <v>29</v>
      </c>
      <c r="D835" t="s">
        <v>1933</v>
      </c>
      <c r="E835" t="s">
        <v>1934</v>
      </c>
      <c r="F835" t="e">
        <f>--ds-btn-loading-success-disabled-bg</f>
        <v>#NAME?</v>
      </c>
      <c r="G835" t="s">
        <v>461</v>
      </c>
      <c r="H835" t="s">
        <v>461</v>
      </c>
      <c r="I835" t="s">
        <v>32</v>
      </c>
      <c r="J835" t="s">
        <v>24</v>
      </c>
      <c r="K835" t="s">
        <v>1837</v>
      </c>
      <c r="L835" t="s">
        <v>139</v>
      </c>
      <c r="M835" t="s">
        <v>57</v>
      </c>
      <c r="N835" t="s">
        <v>1922</v>
      </c>
      <c r="O835">
        <v>1</v>
      </c>
      <c r="P835">
        <v>1</v>
      </c>
      <c r="Q835">
        <v>0</v>
      </c>
      <c r="R835" s="1">
        <v>46195.680509259262</v>
      </c>
      <c r="S835" s="1">
        <v>46206.360960648148</v>
      </c>
    </row>
    <row r="836" spans="1:19" x14ac:dyDescent="0.25">
      <c r="A836">
        <v>2010110207</v>
      </c>
      <c r="B836" t="s">
        <v>28</v>
      </c>
      <c r="C836" t="s">
        <v>29</v>
      </c>
      <c r="D836" t="s">
        <v>1935</v>
      </c>
      <c r="E836" t="s">
        <v>1936</v>
      </c>
      <c r="F836" t="e">
        <f>--ds-btn-loading-success-disabled-text</f>
        <v>#NAME?</v>
      </c>
      <c r="G836" t="s">
        <v>60</v>
      </c>
      <c r="H836" t="s">
        <v>60</v>
      </c>
      <c r="I836" t="s">
        <v>32</v>
      </c>
      <c r="J836" t="s">
        <v>24</v>
      </c>
      <c r="K836" t="s">
        <v>1837</v>
      </c>
      <c r="L836" t="s">
        <v>139</v>
      </c>
      <c r="M836" t="s">
        <v>61</v>
      </c>
      <c r="N836" t="s">
        <v>1922</v>
      </c>
      <c r="O836">
        <v>1</v>
      </c>
      <c r="P836">
        <v>1</v>
      </c>
      <c r="Q836">
        <v>0</v>
      </c>
      <c r="R836" s="1">
        <v>46195.680509259262</v>
      </c>
      <c r="S836" s="1">
        <v>46206.360960648148</v>
      </c>
    </row>
    <row r="837" spans="1:19" x14ac:dyDescent="0.25">
      <c r="A837">
        <v>2010110208</v>
      </c>
      <c r="B837" t="s">
        <v>28</v>
      </c>
      <c r="C837" t="s">
        <v>29</v>
      </c>
      <c r="D837" t="s">
        <v>1937</v>
      </c>
      <c r="E837" t="s">
        <v>1938</v>
      </c>
      <c r="F837" t="e">
        <f>--ds-btn-loading-success-disabled-border</f>
        <v>#NAME?</v>
      </c>
      <c r="G837" t="s">
        <v>1260</v>
      </c>
      <c r="H837" t="s">
        <v>1260</v>
      </c>
      <c r="I837" t="s">
        <v>32</v>
      </c>
      <c r="J837" t="s">
        <v>24</v>
      </c>
      <c r="K837" t="s">
        <v>1837</v>
      </c>
      <c r="L837" t="s">
        <v>139</v>
      </c>
      <c r="M837" t="s">
        <v>65</v>
      </c>
      <c r="N837" t="s">
        <v>1922</v>
      </c>
      <c r="O837">
        <v>1</v>
      </c>
      <c r="P837">
        <v>1</v>
      </c>
      <c r="Q837">
        <v>0</v>
      </c>
      <c r="R837" s="1">
        <v>46195.680509259262</v>
      </c>
      <c r="S837" s="1">
        <v>46206.360960648148</v>
      </c>
    </row>
    <row r="838" spans="1:19" x14ac:dyDescent="0.25">
      <c r="A838">
        <v>2010110209</v>
      </c>
      <c r="B838" t="s">
        <v>28</v>
      </c>
      <c r="C838" t="s">
        <v>29</v>
      </c>
      <c r="D838" t="s">
        <v>1939</v>
      </c>
      <c r="E838" t="s">
        <v>1940</v>
      </c>
      <c r="F838" t="e">
        <f>--ds-btn-loading-success-spinner-color</f>
        <v>#NAME?</v>
      </c>
      <c r="G838" t="s">
        <v>37</v>
      </c>
      <c r="H838" t="s">
        <v>37</v>
      </c>
      <c r="I838" t="s">
        <v>32</v>
      </c>
      <c r="J838" t="s">
        <v>24</v>
      </c>
      <c r="K838" t="s">
        <v>1837</v>
      </c>
      <c r="L838" t="s">
        <v>139</v>
      </c>
      <c r="M838" t="s">
        <v>1857</v>
      </c>
      <c r="N838" t="s">
        <v>1922</v>
      </c>
      <c r="O838">
        <v>1</v>
      </c>
      <c r="P838">
        <v>1</v>
      </c>
      <c r="Q838">
        <v>0</v>
      </c>
      <c r="R838" s="1">
        <v>46195.680509259262</v>
      </c>
      <c r="S838" s="1">
        <v>46206.360960648148</v>
      </c>
    </row>
    <row r="839" spans="1:19" x14ac:dyDescent="0.25">
      <c r="A839">
        <v>2010110210</v>
      </c>
      <c r="B839" t="s">
        <v>28</v>
      </c>
      <c r="C839" t="s">
        <v>29</v>
      </c>
      <c r="D839" t="s">
        <v>1941</v>
      </c>
      <c r="E839" t="s">
        <v>1942</v>
      </c>
      <c r="F839" t="e">
        <f>--ds-btn-loading-success-spinner-size</f>
        <v>#NAME?</v>
      </c>
      <c r="G839" t="s">
        <v>105</v>
      </c>
      <c r="H839" t="s">
        <v>105</v>
      </c>
      <c r="I839" t="s">
        <v>32</v>
      </c>
      <c r="J839" t="s">
        <v>78</v>
      </c>
      <c r="K839" t="s">
        <v>1837</v>
      </c>
      <c r="L839" t="s">
        <v>139</v>
      </c>
      <c r="M839" t="s">
        <v>1860</v>
      </c>
      <c r="N839" t="s">
        <v>1922</v>
      </c>
      <c r="O839">
        <v>1</v>
      </c>
      <c r="P839">
        <v>0</v>
      </c>
      <c r="Q839">
        <v>0</v>
      </c>
      <c r="R839" s="1">
        <v>46195.680509259262</v>
      </c>
      <c r="S839" s="1">
        <v>46206.360960648148</v>
      </c>
    </row>
    <row r="840" spans="1:19" x14ac:dyDescent="0.25">
      <c r="A840">
        <v>2010110211</v>
      </c>
      <c r="B840" t="s">
        <v>28</v>
      </c>
      <c r="C840" t="s">
        <v>29</v>
      </c>
      <c r="D840" t="s">
        <v>1943</v>
      </c>
      <c r="E840" t="s">
        <v>1944</v>
      </c>
      <c r="F840" t="e">
        <f>--ds-btn-loading-success-padding-x</f>
        <v>#NAME?</v>
      </c>
      <c r="G840" t="s">
        <v>77</v>
      </c>
      <c r="H840" t="s">
        <v>77</v>
      </c>
      <c r="I840" t="s">
        <v>32</v>
      </c>
      <c r="J840" t="s">
        <v>78</v>
      </c>
      <c r="K840" t="s">
        <v>1837</v>
      </c>
      <c r="L840" t="s">
        <v>139</v>
      </c>
      <c r="M840" t="s">
        <v>79</v>
      </c>
      <c r="N840" t="s">
        <v>1922</v>
      </c>
      <c r="O840">
        <v>1</v>
      </c>
      <c r="P840">
        <v>0</v>
      </c>
      <c r="Q840">
        <v>0</v>
      </c>
      <c r="R840" s="1">
        <v>46195.680509259262</v>
      </c>
      <c r="S840" s="1">
        <v>46206.360960648148</v>
      </c>
    </row>
    <row r="841" spans="1:19" x14ac:dyDescent="0.25">
      <c r="A841">
        <v>2010110212</v>
      </c>
      <c r="B841" t="s">
        <v>28</v>
      </c>
      <c r="C841" t="s">
        <v>29</v>
      </c>
      <c r="D841" t="s">
        <v>1945</v>
      </c>
      <c r="E841" t="s">
        <v>1946</v>
      </c>
      <c r="F841" t="e">
        <f>--ds-btn-loading-success-padding-y</f>
        <v>#NAME?</v>
      </c>
      <c r="G841" t="s">
        <v>82</v>
      </c>
      <c r="H841" t="s">
        <v>82</v>
      </c>
      <c r="I841" t="s">
        <v>32</v>
      </c>
      <c r="J841" t="s">
        <v>78</v>
      </c>
      <c r="K841" t="s">
        <v>1837</v>
      </c>
      <c r="L841" t="s">
        <v>139</v>
      </c>
      <c r="M841" t="s">
        <v>83</v>
      </c>
      <c r="N841" t="s">
        <v>1922</v>
      </c>
      <c r="O841">
        <v>1</v>
      </c>
      <c r="P841">
        <v>0</v>
      </c>
      <c r="Q841">
        <v>0</v>
      </c>
      <c r="R841" s="1">
        <v>46195.680509259262</v>
      </c>
      <c r="S841" s="1">
        <v>46206.360960648148</v>
      </c>
    </row>
    <row r="842" spans="1:19" x14ac:dyDescent="0.25">
      <c r="A842">
        <v>2010110213</v>
      </c>
      <c r="B842" t="s">
        <v>28</v>
      </c>
      <c r="C842" t="s">
        <v>29</v>
      </c>
      <c r="D842" t="s">
        <v>1947</v>
      </c>
      <c r="E842" t="s">
        <v>1948</v>
      </c>
      <c r="F842" t="e">
        <f>--ds-btn-loading-success-gap</f>
        <v>#NAME?</v>
      </c>
      <c r="G842" t="s">
        <v>86</v>
      </c>
      <c r="H842" t="s">
        <v>86</v>
      </c>
      <c r="I842" t="s">
        <v>32</v>
      </c>
      <c r="J842" t="s">
        <v>78</v>
      </c>
      <c r="K842" t="s">
        <v>1837</v>
      </c>
      <c r="L842" t="s">
        <v>139</v>
      </c>
      <c r="M842" t="s">
        <v>87</v>
      </c>
      <c r="N842" t="s">
        <v>1922</v>
      </c>
      <c r="O842">
        <v>1</v>
      </c>
      <c r="P842">
        <v>0</v>
      </c>
      <c r="Q842">
        <v>0</v>
      </c>
      <c r="R842" s="1">
        <v>46195.680509259262</v>
      </c>
      <c r="S842" s="1">
        <v>46206.360960648148</v>
      </c>
    </row>
    <row r="843" spans="1:19" x14ac:dyDescent="0.25">
      <c r="A843">
        <v>2010110214</v>
      </c>
      <c r="B843" t="s">
        <v>28</v>
      </c>
      <c r="C843" t="s">
        <v>29</v>
      </c>
      <c r="D843" t="s">
        <v>1949</v>
      </c>
      <c r="E843" t="s">
        <v>1950</v>
      </c>
      <c r="F843" t="e">
        <f>--ds-btn-loading-success-focus-ring</f>
        <v>#NAME?</v>
      </c>
      <c r="G843" t="s">
        <v>1273</v>
      </c>
      <c r="H843" t="s">
        <v>1273</v>
      </c>
      <c r="I843" t="s">
        <v>32</v>
      </c>
      <c r="J843" t="s">
        <v>69</v>
      </c>
      <c r="K843" t="s">
        <v>1837</v>
      </c>
      <c r="L843" t="s">
        <v>139</v>
      </c>
      <c r="M843" t="s">
        <v>91</v>
      </c>
      <c r="N843" t="s">
        <v>1922</v>
      </c>
      <c r="O843">
        <v>1</v>
      </c>
      <c r="P843">
        <v>0</v>
      </c>
      <c r="Q843">
        <v>0</v>
      </c>
      <c r="R843" s="1">
        <v>46195.680509259262</v>
      </c>
      <c r="S843" s="1">
        <v>46206.360960648148</v>
      </c>
    </row>
    <row r="844" spans="1:19" x14ac:dyDescent="0.25">
      <c r="A844">
        <v>2010110215</v>
      </c>
      <c r="B844" t="s">
        <v>28</v>
      </c>
      <c r="C844" t="s">
        <v>29</v>
      </c>
      <c r="D844" t="s">
        <v>1951</v>
      </c>
      <c r="E844" t="s">
        <v>1952</v>
      </c>
      <c r="F844" t="e">
        <f>--ds-btn-loading-success-outline</f>
        <v>#NAME?</v>
      </c>
      <c r="G844" t="s">
        <v>94</v>
      </c>
      <c r="H844" t="s">
        <v>94</v>
      </c>
      <c r="I844" t="s">
        <v>32</v>
      </c>
      <c r="J844" t="s">
        <v>69</v>
      </c>
      <c r="K844" t="s">
        <v>1837</v>
      </c>
      <c r="L844" t="s">
        <v>139</v>
      </c>
      <c r="M844" t="s">
        <v>95</v>
      </c>
      <c r="N844" t="s">
        <v>1922</v>
      </c>
      <c r="O844">
        <v>1</v>
      </c>
      <c r="P844">
        <v>0</v>
      </c>
      <c r="Q844">
        <v>0</v>
      </c>
      <c r="R844" s="1">
        <v>46195.680509259262</v>
      </c>
      <c r="S844" s="1">
        <v>46206.360960648148</v>
      </c>
    </row>
    <row r="845" spans="1:19" x14ac:dyDescent="0.25">
      <c r="A845">
        <v>2010110216</v>
      </c>
      <c r="B845" t="s">
        <v>28</v>
      </c>
      <c r="C845" t="s">
        <v>29</v>
      </c>
      <c r="D845" t="s">
        <v>1953</v>
      </c>
      <c r="E845" t="s">
        <v>1954</v>
      </c>
      <c r="F845" t="e">
        <f>--ds-btn-loading-success-transition</f>
        <v>#NAME?</v>
      </c>
      <c r="G845" t="s">
        <v>98</v>
      </c>
      <c r="H845" t="s">
        <v>98</v>
      </c>
      <c r="I845" t="s">
        <v>32</v>
      </c>
      <c r="J845" t="s">
        <v>69</v>
      </c>
      <c r="K845" t="s">
        <v>1837</v>
      </c>
      <c r="L845" t="s">
        <v>139</v>
      </c>
      <c r="M845" t="s">
        <v>99</v>
      </c>
      <c r="N845" t="s">
        <v>1922</v>
      </c>
      <c r="O845">
        <v>1</v>
      </c>
      <c r="P845">
        <v>0</v>
      </c>
      <c r="Q845">
        <v>0</v>
      </c>
      <c r="R845" s="1">
        <v>46195.680509259262</v>
      </c>
      <c r="S845" s="1">
        <v>46206.360960648148</v>
      </c>
    </row>
    <row r="846" spans="1:19" x14ac:dyDescent="0.25">
      <c r="A846">
        <v>2010110217</v>
      </c>
      <c r="B846" t="s">
        <v>28</v>
      </c>
      <c r="C846" t="s">
        <v>29</v>
      </c>
      <c r="D846" t="s">
        <v>1955</v>
      </c>
      <c r="E846" t="s">
        <v>1956</v>
      </c>
      <c r="F846" t="e">
        <f>--ds-btn-loading-success-icon-color</f>
        <v>#NAME?</v>
      </c>
      <c r="G846" t="s">
        <v>37</v>
      </c>
      <c r="H846" t="s">
        <v>37</v>
      </c>
      <c r="I846" t="s">
        <v>32</v>
      </c>
      <c r="J846" t="s">
        <v>24</v>
      </c>
      <c r="K846" t="s">
        <v>1837</v>
      </c>
      <c r="L846" t="s">
        <v>139</v>
      </c>
      <c r="M846" t="s">
        <v>102</v>
      </c>
      <c r="N846" t="s">
        <v>1922</v>
      </c>
      <c r="O846">
        <v>1</v>
      </c>
      <c r="P846">
        <v>0</v>
      </c>
      <c r="Q846">
        <v>0</v>
      </c>
      <c r="R846" s="1">
        <v>46195.680509259262</v>
      </c>
      <c r="S846" s="1">
        <v>46206.360960648148</v>
      </c>
    </row>
    <row r="847" spans="1:19" x14ac:dyDescent="0.25">
      <c r="A847">
        <v>2010110218</v>
      </c>
      <c r="B847" t="s">
        <v>28</v>
      </c>
      <c r="C847" t="s">
        <v>29</v>
      </c>
      <c r="D847" t="s">
        <v>1957</v>
      </c>
      <c r="E847" t="s">
        <v>1958</v>
      </c>
      <c r="F847" t="e">
        <f>--ds-btn-loading-success-icon-size</f>
        <v>#NAME?</v>
      </c>
      <c r="G847" t="s">
        <v>105</v>
      </c>
      <c r="H847" t="s">
        <v>105</v>
      </c>
      <c r="I847" t="s">
        <v>32</v>
      </c>
      <c r="J847" t="s">
        <v>78</v>
      </c>
      <c r="K847" t="s">
        <v>1837</v>
      </c>
      <c r="L847" t="s">
        <v>139</v>
      </c>
      <c r="M847" t="s">
        <v>106</v>
      </c>
      <c r="N847" t="s">
        <v>1922</v>
      </c>
      <c r="O847">
        <v>1</v>
      </c>
      <c r="P847">
        <v>0</v>
      </c>
      <c r="Q847">
        <v>0</v>
      </c>
      <c r="R847" s="1">
        <v>46195.680509259262</v>
      </c>
      <c r="S847" s="1">
        <v>46206.360960648148</v>
      </c>
    </row>
    <row r="848" spans="1:19" x14ac:dyDescent="0.25">
      <c r="A848">
        <v>2010110219</v>
      </c>
      <c r="B848" t="s">
        <v>28</v>
      </c>
      <c r="C848" t="s">
        <v>29</v>
      </c>
      <c r="D848" t="s">
        <v>1959</v>
      </c>
      <c r="E848" t="s">
        <v>1960</v>
      </c>
      <c r="F848" t="e">
        <f>--ds-btn-loading-success-line-height</f>
        <v>#NAME?</v>
      </c>
      <c r="G848">
        <v>1.2</v>
      </c>
      <c r="H848">
        <v>1.2</v>
      </c>
      <c r="I848" t="s">
        <v>32</v>
      </c>
      <c r="J848" t="s">
        <v>78</v>
      </c>
      <c r="K848" t="s">
        <v>1837</v>
      </c>
      <c r="L848" t="s">
        <v>139</v>
      </c>
      <c r="M848" t="s">
        <v>109</v>
      </c>
      <c r="N848" t="s">
        <v>1922</v>
      </c>
      <c r="O848">
        <v>1</v>
      </c>
      <c r="P848">
        <v>0</v>
      </c>
      <c r="Q848">
        <v>0</v>
      </c>
      <c r="R848" s="1">
        <v>46195.680509259262</v>
      </c>
      <c r="S848" s="1">
        <v>46206.360960648148</v>
      </c>
    </row>
    <row r="849" spans="1:19" x14ac:dyDescent="0.25">
      <c r="A849">
        <v>2010110300</v>
      </c>
      <c r="B849" t="s">
        <v>28</v>
      </c>
      <c r="C849" t="s">
        <v>29</v>
      </c>
      <c r="D849" t="s">
        <v>1961</v>
      </c>
      <c r="E849" t="s">
        <v>1962</v>
      </c>
      <c r="F849" t="e">
        <f>--ds-btn-loading-danger-bg</f>
        <v>#NAME?</v>
      </c>
      <c r="G849" t="s">
        <v>160</v>
      </c>
      <c r="H849" t="s">
        <v>160</v>
      </c>
      <c r="I849" t="s">
        <v>32</v>
      </c>
      <c r="J849" t="s">
        <v>24</v>
      </c>
      <c r="K849" t="s">
        <v>1837</v>
      </c>
      <c r="L849" t="s">
        <v>161</v>
      </c>
      <c r="M849" t="s">
        <v>26</v>
      </c>
      <c r="N849" t="s">
        <v>1963</v>
      </c>
      <c r="O849">
        <v>1</v>
      </c>
      <c r="P849">
        <v>1</v>
      </c>
      <c r="Q849">
        <v>0</v>
      </c>
      <c r="R849" s="1">
        <v>46195.681006944447</v>
      </c>
      <c r="S849" s="1">
        <v>46206.360960648148</v>
      </c>
    </row>
    <row r="850" spans="1:19" x14ac:dyDescent="0.25">
      <c r="A850">
        <v>2010110301</v>
      </c>
      <c r="B850" t="s">
        <v>28</v>
      </c>
      <c r="C850" t="s">
        <v>29</v>
      </c>
      <c r="D850" t="s">
        <v>1964</v>
      </c>
      <c r="E850" t="s">
        <v>1965</v>
      </c>
      <c r="F850" t="e">
        <f>--ds-btn-loading-danger-text</f>
        <v>#NAME?</v>
      </c>
      <c r="G850" t="s">
        <v>37</v>
      </c>
      <c r="H850" t="s">
        <v>37</v>
      </c>
      <c r="I850" t="s">
        <v>32</v>
      </c>
      <c r="J850" t="s">
        <v>24</v>
      </c>
      <c r="K850" t="s">
        <v>1837</v>
      </c>
      <c r="L850" t="s">
        <v>161</v>
      </c>
      <c r="M850" t="s">
        <v>38</v>
      </c>
      <c r="N850" t="s">
        <v>1963</v>
      </c>
      <c r="O850">
        <v>1</v>
      </c>
      <c r="P850">
        <v>1</v>
      </c>
      <c r="Q850">
        <v>0</v>
      </c>
      <c r="R850" s="1">
        <v>46195.681006944447</v>
      </c>
      <c r="S850" s="1">
        <v>46206.360960648148</v>
      </c>
    </row>
    <row r="851" spans="1:19" x14ac:dyDescent="0.25">
      <c r="A851">
        <v>2010110302</v>
      </c>
      <c r="B851" t="s">
        <v>28</v>
      </c>
      <c r="C851" t="s">
        <v>29</v>
      </c>
      <c r="D851" t="s">
        <v>1966</v>
      </c>
      <c r="E851" t="s">
        <v>1967</v>
      </c>
      <c r="F851" t="e">
        <f>--ds-btn-loading-danger-border</f>
        <v>#NAME?</v>
      </c>
      <c r="G851" t="s">
        <v>160</v>
      </c>
      <c r="H851" t="s">
        <v>160</v>
      </c>
      <c r="I851" t="s">
        <v>32</v>
      </c>
      <c r="J851" t="s">
        <v>24</v>
      </c>
      <c r="K851" t="s">
        <v>1837</v>
      </c>
      <c r="L851" t="s">
        <v>161</v>
      </c>
      <c r="M851" t="s">
        <v>42</v>
      </c>
      <c r="N851" t="s">
        <v>1963</v>
      </c>
      <c r="O851">
        <v>1</v>
      </c>
      <c r="P851">
        <v>1</v>
      </c>
      <c r="Q851">
        <v>0</v>
      </c>
      <c r="R851" s="1">
        <v>46195.681006944447</v>
      </c>
      <c r="S851" s="1">
        <v>46206.360960648148</v>
      </c>
    </row>
    <row r="852" spans="1:19" x14ac:dyDescent="0.25">
      <c r="A852">
        <v>2010110303</v>
      </c>
      <c r="B852" t="s">
        <v>28</v>
      </c>
      <c r="C852" t="s">
        <v>29</v>
      </c>
      <c r="D852" t="s">
        <v>1968</v>
      </c>
      <c r="E852" t="s">
        <v>1969</v>
      </c>
      <c r="F852" t="e">
        <f>--ds-btn-loading-danger-hover-bg</f>
        <v>#NAME?</v>
      </c>
      <c r="G852" t="s">
        <v>169</v>
      </c>
      <c r="H852" t="s">
        <v>169</v>
      </c>
      <c r="I852" t="s">
        <v>32</v>
      </c>
      <c r="J852" t="s">
        <v>24</v>
      </c>
      <c r="K852" t="s">
        <v>1837</v>
      </c>
      <c r="L852" t="s">
        <v>161</v>
      </c>
      <c r="M852" t="s">
        <v>46</v>
      </c>
      <c r="N852" t="s">
        <v>1963</v>
      </c>
      <c r="O852">
        <v>1</v>
      </c>
      <c r="P852">
        <v>1</v>
      </c>
      <c r="Q852">
        <v>0</v>
      </c>
      <c r="R852" s="1">
        <v>46195.681006944447</v>
      </c>
      <c r="S852" s="1">
        <v>46206.360960648148</v>
      </c>
    </row>
    <row r="853" spans="1:19" x14ac:dyDescent="0.25">
      <c r="A853">
        <v>2010110304</v>
      </c>
      <c r="B853" t="s">
        <v>28</v>
      </c>
      <c r="C853" t="s">
        <v>29</v>
      </c>
      <c r="D853" t="s">
        <v>1970</v>
      </c>
      <c r="E853" t="s">
        <v>1971</v>
      </c>
      <c r="F853" t="e">
        <f>--ds-btn-loading-danger-hover-text</f>
        <v>#NAME?</v>
      </c>
      <c r="G853" t="s">
        <v>37</v>
      </c>
      <c r="H853" t="s">
        <v>37</v>
      </c>
      <c r="I853" t="s">
        <v>32</v>
      </c>
      <c r="J853" t="s">
        <v>24</v>
      </c>
      <c r="K853" t="s">
        <v>1837</v>
      </c>
      <c r="L853" t="s">
        <v>161</v>
      </c>
      <c r="M853" t="s">
        <v>49</v>
      </c>
      <c r="N853" t="s">
        <v>1963</v>
      </c>
      <c r="O853">
        <v>1</v>
      </c>
      <c r="P853">
        <v>1</v>
      </c>
      <c r="Q853">
        <v>0</v>
      </c>
      <c r="R853" s="1">
        <v>46195.681006944447</v>
      </c>
      <c r="S853" s="1">
        <v>46206.360960648148</v>
      </c>
    </row>
    <row r="854" spans="1:19" x14ac:dyDescent="0.25">
      <c r="A854">
        <v>2010110305</v>
      </c>
      <c r="B854" t="s">
        <v>28</v>
      </c>
      <c r="C854" t="s">
        <v>29</v>
      </c>
      <c r="D854" t="s">
        <v>1972</v>
      </c>
      <c r="E854" t="s">
        <v>1973</v>
      </c>
      <c r="F854" t="e">
        <f>--ds-btn-loading-danger-hover-border</f>
        <v>#NAME?</v>
      </c>
      <c r="G854" t="s">
        <v>955</v>
      </c>
      <c r="H854" t="s">
        <v>955</v>
      </c>
      <c r="I854" t="s">
        <v>32</v>
      </c>
      <c r="J854" t="s">
        <v>24</v>
      </c>
      <c r="K854" t="s">
        <v>1837</v>
      </c>
      <c r="L854" t="s">
        <v>161</v>
      </c>
      <c r="M854" t="s">
        <v>53</v>
      </c>
      <c r="N854" t="s">
        <v>1963</v>
      </c>
      <c r="O854">
        <v>1</v>
      </c>
      <c r="P854">
        <v>1</v>
      </c>
      <c r="Q854">
        <v>0</v>
      </c>
      <c r="R854" s="1">
        <v>46195.681006944447</v>
      </c>
      <c r="S854" s="1">
        <v>46206.360960648148</v>
      </c>
    </row>
    <row r="855" spans="1:19" x14ac:dyDescent="0.25">
      <c r="A855">
        <v>2010110306</v>
      </c>
      <c r="B855" t="s">
        <v>28</v>
      </c>
      <c r="C855" t="s">
        <v>29</v>
      </c>
      <c r="D855" t="s">
        <v>1974</v>
      </c>
      <c r="E855" t="s">
        <v>1975</v>
      </c>
      <c r="F855" t="e">
        <f>--ds-btn-loading-danger-disabled-bg</f>
        <v>#NAME?</v>
      </c>
      <c r="G855" t="s">
        <v>484</v>
      </c>
      <c r="H855" t="s">
        <v>484</v>
      </c>
      <c r="I855" t="s">
        <v>32</v>
      </c>
      <c r="J855" t="s">
        <v>24</v>
      </c>
      <c r="K855" t="s">
        <v>1837</v>
      </c>
      <c r="L855" t="s">
        <v>161</v>
      </c>
      <c r="M855" t="s">
        <v>57</v>
      </c>
      <c r="N855" t="s">
        <v>1963</v>
      </c>
      <c r="O855">
        <v>1</v>
      </c>
      <c r="P855">
        <v>1</v>
      </c>
      <c r="Q855">
        <v>0</v>
      </c>
      <c r="R855" s="1">
        <v>46195.681006944447</v>
      </c>
      <c r="S855" s="1">
        <v>46206.360960648148</v>
      </c>
    </row>
    <row r="856" spans="1:19" x14ac:dyDescent="0.25">
      <c r="A856">
        <v>2010110307</v>
      </c>
      <c r="B856" t="s">
        <v>28</v>
      </c>
      <c r="C856" t="s">
        <v>29</v>
      </c>
      <c r="D856" t="s">
        <v>1976</v>
      </c>
      <c r="E856" t="s">
        <v>1977</v>
      </c>
      <c r="F856" t="e">
        <f>--ds-btn-loading-danger-disabled-text</f>
        <v>#NAME?</v>
      </c>
      <c r="G856" t="s">
        <v>60</v>
      </c>
      <c r="H856" t="s">
        <v>60</v>
      </c>
      <c r="I856" t="s">
        <v>32</v>
      </c>
      <c r="J856" t="s">
        <v>24</v>
      </c>
      <c r="K856" t="s">
        <v>1837</v>
      </c>
      <c r="L856" t="s">
        <v>161</v>
      </c>
      <c r="M856" t="s">
        <v>61</v>
      </c>
      <c r="N856" t="s">
        <v>1963</v>
      </c>
      <c r="O856">
        <v>1</v>
      </c>
      <c r="P856">
        <v>1</v>
      </c>
      <c r="Q856">
        <v>0</v>
      </c>
      <c r="R856" s="1">
        <v>46195.681006944447</v>
      </c>
      <c r="S856" s="1">
        <v>46206.360960648148</v>
      </c>
    </row>
    <row r="857" spans="1:19" x14ac:dyDescent="0.25">
      <c r="A857">
        <v>2010110308</v>
      </c>
      <c r="B857" t="s">
        <v>28</v>
      </c>
      <c r="C857" t="s">
        <v>29</v>
      </c>
      <c r="D857" t="s">
        <v>1978</v>
      </c>
      <c r="E857" t="s">
        <v>1979</v>
      </c>
      <c r="F857" t="e">
        <f>--ds-btn-loading-danger-disabled-border</f>
        <v>#NAME?</v>
      </c>
      <c r="G857" t="s">
        <v>1303</v>
      </c>
      <c r="H857" t="s">
        <v>1303</v>
      </c>
      <c r="I857" t="s">
        <v>32</v>
      </c>
      <c r="J857" t="s">
        <v>24</v>
      </c>
      <c r="K857" t="s">
        <v>1837</v>
      </c>
      <c r="L857" t="s">
        <v>161</v>
      </c>
      <c r="M857" t="s">
        <v>65</v>
      </c>
      <c r="N857" t="s">
        <v>1963</v>
      </c>
      <c r="O857">
        <v>1</v>
      </c>
      <c r="P857">
        <v>1</v>
      </c>
      <c r="Q857">
        <v>0</v>
      </c>
      <c r="R857" s="1">
        <v>46195.681006944447</v>
      </c>
      <c r="S857" s="1">
        <v>46206.360960648148</v>
      </c>
    </row>
    <row r="858" spans="1:19" x14ac:dyDescent="0.25">
      <c r="A858">
        <v>2010110309</v>
      </c>
      <c r="B858" t="s">
        <v>28</v>
      </c>
      <c r="C858" t="s">
        <v>29</v>
      </c>
      <c r="D858" t="s">
        <v>1980</v>
      </c>
      <c r="E858" t="s">
        <v>1981</v>
      </c>
      <c r="F858" t="e">
        <f>--ds-btn-loading-danger-spinner-color</f>
        <v>#NAME?</v>
      </c>
      <c r="G858" t="s">
        <v>37</v>
      </c>
      <c r="H858" t="s">
        <v>37</v>
      </c>
      <c r="I858" t="s">
        <v>32</v>
      </c>
      <c r="J858" t="s">
        <v>24</v>
      </c>
      <c r="K858" t="s">
        <v>1837</v>
      </c>
      <c r="L858" t="s">
        <v>161</v>
      </c>
      <c r="M858" t="s">
        <v>1857</v>
      </c>
      <c r="N858" t="s">
        <v>1963</v>
      </c>
      <c r="O858">
        <v>1</v>
      </c>
      <c r="P858">
        <v>1</v>
      </c>
      <c r="Q858">
        <v>0</v>
      </c>
      <c r="R858" s="1">
        <v>46195.681006944447</v>
      </c>
      <c r="S858" s="1">
        <v>46206.360960648148</v>
      </c>
    </row>
    <row r="859" spans="1:19" x14ac:dyDescent="0.25">
      <c r="A859">
        <v>2010110310</v>
      </c>
      <c r="B859" t="s">
        <v>28</v>
      </c>
      <c r="C859" t="s">
        <v>29</v>
      </c>
      <c r="D859" t="s">
        <v>1982</v>
      </c>
      <c r="E859" t="s">
        <v>1983</v>
      </c>
      <c r="F859" t="e">
        <f>--ds-btn-loading-danger-spinner-size</f>
        <v>#NAME?</v>
      </c>
      <c r="G859" t="s">
        <v>105</v>
      </c>
      <c r="H859" t="s">
        <v>105</v>
      </c>
      <c r="I859" t="s">
        <v>32</v>
      </c>
      <c r="J859" t="s">
        <v>78</v>
      </c>
      <c r="K859" t="s">
        <v>1837</v>
      </c>
      <c r="L859" t="s">
        <v>161</v>
      </c>
      <c r="M859" t="s">
        <v>1860</v>
      </c>
      <c r="N859" t="s">
        <v>1963</v>
      </c>
      <c r="O859">
        <v>1</v>
      </c>
      <c r="P859">
        <v>0</v>
      </c>
      <c r="Q859">
        <v>0</v>
      </c>
      <c r="R859" s="1">
        <v>46195.681006944447</v>
      </c>
      <c r="S859" s="1">
        <v>46206.360960648148</v>
      </c>
    </row>
    <row r="860" spans="1:19" x14ac:dyDescent="0.25">
      <c r="A860">
        <v>2010110311</v>
      </c>
      <c r="B860" t="s">
        <v>28</v>
      </c>
      <c r="C860" t="s">
        <v>29</v>
      </c>
      <c r="D860" t="s">
        <v>1984</v>
      </c>
      <c r="E860" t="s">
        <v>1985</v>
      </c>
      <c r="F860" t="e">
        <f>--ds-btn-loading-danger-padding-x</f>
        <v>#NAME?</v>
      </c>
      <c r="G860" t="s">
        <v>77</v>
      </c>
      <c r="H860" t="s">
        <v>77</v>
      </c>
      <c r="I860" t="s">
        <v>32</v>
      </c>
      <c r="J860" t="s">
        <v>78</v>
      </c>
      <c r="K860" t="s">
        <v>1837</v>
      </c>
      <c r="L860" t="s">
        <v>161</v>
      </c>
      <c r="M860" t="s">
        <v>79</v>
      </c>
      <c r="N860" t="s">
        <v>1963</v>
      </c>
      <c r="O860">
        <v>1</v>
      </c>
      <c r="P860">
        <v>0</v>
      </c>
      <c r="Q860">
        <v>0</v>
      </c>
      <c r="R860" s="1">
        <v>46195.681006944447</v>
      </c>
      <c r="S860" s="1">
        <v>46206.360960648148</v>
      </c>
    </row>
    <row r="861" spans="1:19" x14ac:dyDescent="0.25">
      <c r="A861">
        <v>2010110312</v>
      </c>
      <c r="B861" t="s">
        <v>28</v>
      </c>
      <c r="C861" t="s">
        <v>29</v>
      </c>
      <c r="D861" t="s">
        <v>1986</v>
      </c>
      <c r="E861" t="s">
        <v>1987</v>
      </c>
      <c r="F861" t="e">
        <f>--ds-btn-loading-danger-padding-y</f>
        <v>#NAME?</v>
      </c>
      <c r="G861" t="s">
        <v>82</v>
      </c>
      <c r="H861" t="s">
        <v>82</v>
      </c>
      <c r="I861" t="s">
        <v>32</v>
      </c>
      <c r="J861" t="s">
        <v>78</v>
      </c>
      <c r="K861" t="s">
        <v>1837</v>
      </c>
      <c r="L861" t="s">
        <v>161</v>
      </c>
      <c r="M861" t="s">
        <v>83</v>
      </c>
      <c r="N861" t="s">
        <v>1963</v>
      </c>
      <c r="O861">
        <v>1</v>
      </c>
      <c r="P861">
        <v>0</v>
      </c>
      <c r="Q861">
        <v>0</v>
      </c>
      <c r="R861" s="1">
        <v>46195.681006944447</v>
      </c>
      <c r="S861" s="1">
        <v>46206.360960648148</v>
      </c>
    </row>
    <row r="862" spans="1:19" x14ac:dyDescent="0.25">
      <c r="A862">
        <v>2010110313</v>
      </c>
      <c r="B862" t="s">
        <v>28</v>
      </c>
      <c r="C862" t="s">
        <v>29</v>
      </c>
      <c r="D862" t="s">
        <v>1988</v>
      </c>
      <c r="E862" t="s">
        <v>1989</v>
      </c>
      <c r="F862" t="e">
        <f>--ds-btn-loading-danger-gap</f>
        <v>#NAME?</v>
      </c>
      <c r="G862" t="s">
        <v>86</v>
      </c>
      <c r="H862" t="s">
        <v>86</v>
      </c>
      <c r="I862" t="s">
        <v>32</v>
      </c>
      <c r="J862" t="s">
        <v>78</v>
      </c>
      <c r="K862" t="s">
        <v>1837</v>
      </c>
      <c r="L862" t="s">
        <v>161</v>
      </c>
      <c r="M862" t="s">
        <v>87</v>
      </c>
      <c r="N862" t="s">
        <v>1963</v>
      </c>
      <c r="O862">
        <v>1</v>
      </c>
      <c r="P862">
        <v>0</v>
      </c>
      <c r="Q862">
        <v>0</v>
      </c>
      <c r="R862" s="1">
        <v>46195.681006944447</v>
      </c>
      <c r="S862" s="1">
        <v>46206.360960648148</v>
      </c>
    </row>
    <row r="863" spans="1:19" x14ac:dyDescent="0.25">
      <c r="A863">
        <v>2010110314</v>
      </c>
      <c r="B863" t="s">
        <v>28</v>
      </c>
      <c r="C863" t="s">
        <v>29</v>
      </c>
      <c r="D863" t="s">
        <v>1990</v>
      </c>
      <c r="E863" t="s">
        <v>1991</v>
      </c>
      <c r="F863" t="e">
        <f>--ds-btn-loading-danger-focus-ring</f>
        <v>#NAME?</v>
      </c>
      <c r="G863" t="s">
        <v>1316</v>
      </c>
      <c r="H863" t="s">
        <v>1316</v>
      </c>
      <c r="I863" t="s">
        <v>32</v>
      </c>
      <c r="J863" t="s">
        <v>69</v>
      </c>
      <c r="K863" t="s">
        <v>1837</v>
      </c>
      <c r="L863" t="s">
        <v>161</v>
      </c>
      <c r="M863" t="s">
        <v>91</v>
      </c>
      <c r="N863" t="s">
        <v>1963</v>
      </c>
      <c r="O863">
        <v>1</v>
      </c>
      <c r="P863">
        <v>0</v>
      </c>
      <c r="Q863">
        <v>0</v>
      </c>
      <c r="R863" s="1">
        <v>46195.681006944447</v>
      </c>
      <c r="S863" s="1">
        <v>46206.360960648148</v>
      </c>
    </row>
    <row r="864" spans="1:19" x14ac:dyDescent="0.25">
      <c r="A864">
        <v>2010110315</v>
      </c>
      <c r="B864" t="s">
        <v>28</v>
      </c>
      <c r="C864" t="s">
        <v>29</v>
      </c>
      <c r="D864" t="s">
        <v>1992</v>
      </c>
      <c r="E864" t="s">
        <v>1993</v>
      </c>
      <c r="F864" t="e">
        <f>--ds-btn-loading-danger-outline</f>
        <v>#NAME?</v>
      </c>
      <c r="G864" t="s">
        <v>94</v>
      </c>
      <c r="H864" t="s">
        <v>94</v>
      </c>
      <c r="I864" t="s">
        <v>32</v>
      </c>
      <c r="J864" t="s">
        <v>69</v>
      </c>
      <c r="K864" t="s">
        <v>1837</v>
      </c>
      <c r="L864" t="s">
        <v>161</v>
      </c>
      <c r="M864" t="s">
        <v>95</v>
      </c>
      <c r="N864" t="s">
        <v>1963</v>
      </c>
      <c r="O864">
        <v>1</v>
      </c>
      <c r="P864">
        <v>0</v>
      </c>
      <c r="Q864">
        <v>0</v>
      </c>
      <c r="R864" s="1">
        <v>46195.681006944447</v>
      </c>
      <c r="S864" s="1">
        <v>46206.360960648148</v>
      </c>
    </row>
    <row r="865" spans="1:19" x14ac:dyDescent="0.25">
      <c r="A865">
        <v>2010110316</v>
      </c>
      <c r="B865" t="s">
        <v>28</v>
      </c>
      <c r="C865" t="s">
        <v>29</v>
      </c>
      <c r="D865" t="s">
        <v>1994</v>
      </c>
      <c r="E865" t="s">
        <v>1995</v>
      </c>
      <c r="F865" t="e">
        <f>--ds-btn-loading-danger-transition</f>
        <v>#NAME?</v>
      </c>
      <c r="G865" t="s">
        <v>98</v>
      </c>
      <c r="H865" t="s">
        <v>98</v>
      </c>
      <c r="I865" t="s">
        <v>32</v>
      </c>
      <c r="J865" t="s">
        <v>69</v>
      </c>
      <c r="K865" t="s">
        <v>1837</v>
      </c>
      <c r="L865" t="s">
        <v>161</v>
      </c>
      <c r="M865" t="s">
        <v>99</v>
      </c>
      <c r="N865" t="s">
        <v>1963</v>
      </c>
      <c r="O865">
        <v>1</v>
      </c>
      <c r="P865">
        <v>0</v>
      </c>
      <c r="Q865">
        <v>0</v>
      </c>
      <c r="R865" s="1">
        <v>46195.681006944447</v>
      </c>
      <c r="S865" s="1">
        <v>46206.360960648148</v>
      </c>
    </row>
    <row r="866" spans="1:19" x14ac:dyDescent="0.25">
      <c r="A866">
        <v>2010110317</v>
      </c>
      <c r="B866" t="s">
        <v>28</v>
      </c>
      <c r="C866" t="s">
        <v>29</v>
      </c>
      <c r="D866" t="s">
        <v>1996</v>
      </c>
      <c r="E866" t="s">
        <v>1997</v>
      </c>
      <c r="F866" t="e">
        <f>--ds-btn-loading-danger-icon-color</f>
        <v>#NAME?</v>
      </c>
      <c r="G866" t="s">
        <v>37</v>
      </c>
      <c r="H866" t="s">
        <v>37</v>
      </c>
      <c r="I866" t="s">
        <v>32</v>
      </c>
      <c r="J866" t="s">
        <v>24</v>
      </c>
      <c r="K866" t="s">
        <v>1837</v>
      </c>
      <c r="L866" t="s">
        <v>161</v>
      </c>
      <c r="M866" t="s">
        <v>102</v>
      </c>
      <c r="N866" t="s">
        <v>1963</v>
      </c>
      <c r="O866">
        <v>1</v>
      </c>
      <c r="P866">
        <v>0</v>
      </c>
      <c r="Q866">
        <v>0</v>
      </c>
      <c r="R866" s="1">
        <v>46195.681006944447</v>
      </c>
      <c r="S866" s="1">
        <v>46206.360960648148</v>
      </c>
    </row>
    <row r="867" spans="1:19" x14ac:dyDescent="0.25">
      <c r="A867">
        <v>2010110318</v>
      </c>
      <c r="B867" t="s">
        <v>28</v>
      </c>
      <c r="C867" t="s">
        <v>29</v>
      </c>
      <c r="D867" t="s">
        <v>1998</v>
      </c>
      <c r="E867" t="s">
        <v>1999</v>
      </c>
      <c r="F867" t="e">
        <f>--ds-btn-loading-danger-icon-size</f>
        <v>#NAME?</v>
      </c>
      <c r="G867" t="s">
        <v>105</v>
      </c>
      <c r="H867" t="s">
        <v>105</v>
      </c>
      <c r="I867" t="s">
        <v>32</v>
      </c>
      <c r="J867" t="s">
        <v>78</v>
      </c>
      <c r="K867" t="s">
        <v>1837</v>
      </c>
      <c r="L867" t="s">
        <v>161</v>
      </c>
      <c r="M867" t="s">
        <v>106</v>
      </c>
      <c r="N867" t="s">
        <v>1963</v>
      </c>
      <c r="O867">
        <v>1</v>
      </c>
      <c r="P867">
        <v>0</v>
      </c>
      <c r="Q867">
        <v>0</v>
      </c>
      <c r="R867" s="1">
        <v>46195.681006944447</v>
      </c>
      <c r="S867" s="1">
        <v>46206.360960648148</v>
      </c>
    </row>
    <row r="868" spans="1:19" x14ac:dyDescent="0.25">
      <c r="A868">
        <v>2010110319</v>
      </c>
      <c r="B868" t="s">
        <v>28</v>
      </c>
      <c r="C868" t="s">
        <v>29</v>
      </c>
      <c r="D868" t="s">
        <v>2000</v>
      </c>
      <c r="E868" t="s">
        <v>2001</v>
      </c>
      <c r="F868" t="e">
        <f>--ds-btn-loading-danger-line-height</f>
        <v>#NAME?</v>
      </c>
      <c r="G868">
        <v>1.2</v>
      </c>
      <c r="H868">
        <v>1.2</v>
      </c>
      <c r="I868" t="s">
        <v>32</v>
      </c>
      <c r="J868" t="s">
        <v>78</v>
      </c>
      <c r="K868" t="s">
        <v>1837</v>
      </c>
      <c r="L868" t="s">
        <v>161</v>
      </c>
      <c r="M868" t="s">
        <v>109</v>
      </c>
      <c r="N868" t="s">
        <v>1963</v>
      </c>
      <c r="O868">
        <v>1</v>
      </c>
      <c r="P868">
        <v>0</v>
      </c>
      <c r="Q868">
        <v>0</v>
      </c>
      <c r="R868" s="1">
        <v>46195.681006944447</v>
      </c>
      <c r="S868" s="1">
        <v>46206.360960648148</v>
      </c>
    </row>
    <row r="869" spans="1:19" x14ac:dyDescent="0.25">
      <c r="A869">
        <v>2010110400</v>
      </c>
      <c r="B869" t="s">
        <v>28</v>
      </c>
      <c r="C869" t="s">
        <v>29</v>
      </c>
      <c r="D869" t="s">
        <v>2002</v>
      </c>
      <c r="E869" t="s">
        <v>2003</v>
      </c>
      <c r="F869" t="e">
        <f>--ds-btn-loading-warning-bg</f>
        <v>#NAME?</v>
      </c>
      <c r="G869" t="s">
        <v>182</v>
      </c>
      <c r="H869" t="s">
        <v>182</v>
      </c>
      <c r="I869" t="s">
        <v>32</v>
      </c>
      <c r="J869" t="s">
        <v>24</v>
      </c>
      <c r="K869" t="s">
        <v>1837</v>
      </c>
      <c r="L869" t="s">
        <v>183</v>
      </c>
      <c r="M869" t="s">
        <v>26</v>
      </c>
      <c r="N869" t="s">
        <v>2004</v>
      </c>
      <c r="O869">
        <v>1</v>
      </c>
      <c r="P869">
        <v>1</v>
      </c>
      <c r="Q869">
        <v>0</v>
      </c>
      <c r="R869" s="1">
        <v>46195.681516203702</v>
      </c>
      <c r="S869" s="1">
        <v>46206.360960648148</v>
      </c>
    </row>
    <row r="870" spans="1:19" x14ac:dyDescent="0.25">
      <c r="A870">
        <v>2010110401</v>
      </c>
      <c r="B870" t="s">
        <v>28</v>
      </c>
      <c r="C870" t="s">
        <v>29</v>
      </c>
      <c r="D870" t="s">
        <v>2005</v>
      </c>
      <c r="E870" t="s">
        <v>2006</v>
      </c>
      <c r="F870" t="e">
        <f>--ds-btn-loading-warning-text</f>
        <v>#NAME?</v>
      </c>
      <c r="G870" t="s">
        <v>117</v>
      </c>
      <c r="H870" t="s">
        <v>117</v>
      </c>
      <c r="I870" t="s">
        <v>32</v>
      </c>
      <c r="J870" t="s">
        <v>24</v>
      </c>
      <c r="K870" t="s">
        <v>1837</v>
      </c>
      <c r="L870" t="s">
        <v>183</v>
      </c>
      <c r="M870" t="s">
        <v>38</v>
      </c>
      <c r="N870" t="s">
        <v>2004</v>
      </c>
      <c r="O870">
        <v>1</v>
      </c>
      <c r="P870">
        <v>1</v>
      </c>
      <c r="Q870">
        <v>0</v>
      </c>
      <c r="R870" s="1">
        <v>46195.681516203702</v>
      </c>
      <c r="S870" s="1">
        <v>46206.360960648148</v>
      </c>
    </row>
    <row r="871" spans="1:19" x14ac:dyDescent="0.25">
      <c r="A871">
        <v>2010110402</v>
      </c>
      <c r="B871" t="s">
        <v>28</v>
      </c>
      <c r="C871" t="s">
        <v>29</v>
      </c>
      <c r="D871" t="s">
        <v>2007</v>
      </c>
      <c r="E871" t="s">
        <v>2008</v>
      </c>
      <c r="F871" t="e">
        <f>--ds-btn-loading-warning-border</f>
        <v>#NAME?</v>
      </c>
      <c r="G871" t="s">
        <v>182</v>
      </c>
      <c r="H871" t="s">
        <v>182</v>
      </c>
      <c r="I871" t="s">
        <v>32</v>
      </c>
      <c r="J871" t="s">
        <v>24</v>
      </c>
      <c r="K871" t="s">
        <v>1837</v>
      </c>
      <c r="L871" t="s">
        <v>183</v>
      </c>
      <c r="M871" t="s">
        <v>42</v>
      </c>
      <c r="N871" t="s">
        <v>2004</v>
      </c>
      <c r="O871">
        <v>1</v>
      </c>
      <c r="P871">
        <v>1</v>
      </c>
      <c r="Q871">
        <v>0</v>
      </c>
      <c r="R871" s="1">
        <v>46195.681516203702</v>
      </c>
      <c r="S871" s="1">
        <v>46206.360960648148</v>
      </c>
    </row>
    <row r="872" spans="1:19" x14ac:dyDescent="0.25">
      <c r="A872">
        <v>2010110403</v>
      </c>
      <c r="B872" t="s">
        <v>28</v>
      </c>
      <c r="C872" t="s">
        <v>29</v>
      </c>
      <c r="D872" t="s">
        <v>2009</v>
      </c>
      <c r="E872" t="s">
        <v>2010</v>
      </c>
      <c r="F872" t="e">
        <f>--ds-btn-loading-warning-hover-bg</f>
        <v>#NAME?</v>
      </c>
      <c r="G872" t="s">
        <v>191</v>
      </c>
      <c r="H872" t="s">
        <v>191</v>
      </c>
      <c r="I872" t="s">
        <v>32</v>
      </c>
      <c r="J872" t="s">
        <v>24</v>
      </c>
      <c r="K872" t="s">
        <v>1837</v>
      </c>
      <c r="L872" t="s">
        <v>183</v>
      </c>
      <c r="M872" t="s">
        <v>46</v>
      </c>
      <c r="N872" t="s">
        <v>2004</v>
      </c>
      <c r="O872">
        <v>1</v>
      </c>
      <c r="P872">
        <v>1</v>
      </c>
      <c r="Q872">
        <v>0</v>
      </c>
      <c r="R872" s="1">
        <v>46195.681516203702</v>
      </c>
      <c r="S872" s="1">
        <v>46206.360960648148</v>
      </c>
    </row>
    <row r="873" spans="1:19" x14ac:dyDescent="0.25">
      <c r="A873">
        <v>2010110404</v>
      </c>
      <c r="B873" t="s">
        <v>28</v>
      </c>
      <c r="C873" t="s">
        <v>29</v>
      </c>
      <c r="D873" t="s">
        <v>2011</v>
      </c>
      <c r="E873" t="s">
        <v>2012</v>
      </c>
      <c r="F873" t="e">
        <f>--ds-btn-loading-warning-hover-text</f>
        <v>#NAME?</v>
      </c>
      <c r="G873" t="s">
        <v>117</v>
      </c>
      <c r="H873" t="s">
        <v>117</v>
      </c>
      <c r="I873" t="s">
        <v>32</v>
      </c>
      <c r="J873" t="s">
        <v>24</v>
      </c>
      <c r="K873" t="s">
        <v>1837</v>
      </c>
      <c r="L873" t="s">
        <v>183</v>
      </c>
      <c r="M873" t="s">
        <v>49</v>
      </c>
      <c r="N873" t="s">
        <v>2004</v>
      </c>
      <c r="O873">
        <v>1</v>
      </c>
      <c r="P873">
        <v>1</v>
      </c>
      <c r="Q873">
        <v>0</v>
      </c>
      <c r="R873" s="1">
        <v>46195.681516203702</v>
      </c>
      <c r="S873" s="1">
        <v>46206.360960648148</v>
      </c>
    </row>
    <row r="874" spans="1:19" x14ac:dyDescent="0.25">
      <c r="A874">
        <v>2010110405</v>
      </c>
      <c r="B874" t="s">
        <v>28</v>
      </c>
      <c r="C874" t="s">
        <v>29</v>
      </c>
      <c r="D874" t="s">
        <v>2013</v>
      </c>
      <c r="E874" t="s">
        <v>2014</v>
      </c>
      <c r="F874" t="e">
        <f>--ds-btn-loading-warning-hover-border</f>
        <v>#NAME?</v>
      </c>
      <c r="G874" t="s">
        <v>999</v>
      </c>
      <c r="H874" t="s">
        <v>999</v>
      </c>
      <c r="I874" t="s">
        <v>32</v>
      </c>
      <c r="J874" t="s">
        <v>24</v>
      </c>
      <c r="K874" t="s">
        <v>1837</v>
      </c>
      <c r="L874" t="s">
        <v>183</v>
      </c>
      <c r="M874" t="s">
        <v>53</v>
      </c>
      <c r="N874" t="s">
        <v>2004</v>
      </c>
      <c r="O874">
        <v>1</v>
      </c>
      <c r="P874">
        <v>1</v>
      </c>
      <c r="Q874">
        <v>0</v>
      </c>
      <c r="R874" s="1">
        <v>46195.681516203702</v>
      </c>
      <c r="S874" s="1">
        <v>46206.360960648148</v>
      </c>
    </row>
    <row r="875" spans="1:19" x14ac:dyDescent="0.25">
      <c r="A875">
        <v>2010110406</v>
      </c>
      <c r="B875" t="s">
        <v>28</v>
      </c>
      <c r="C875" t="s">
        <v>29</v>
      </c>
      <c r="D875" t="s">
        <v>2015</v>
      </c>
      <c r="E875" t="s">
        <v>2016</v>
      </c>
      <c r="F875" t="e">
        <f>--ds-btn-loading-warning-disabled-bg</f>
        <v>#NAME?</v>
      </c>
      <c r="G875" t="s">
        <v>507</v>
      </c>
      <c r="H875" t="s">
        <v>507</v>
      </c>
      <c r="I875" t="s">
        <v>32</v>
      </c>
      <c r="J875" t="s">
        <v>24</v>
      </c>
      <c r="K875" t="s">
        <v>1837</v>
      </c>
      <c r="L875" t="s">
        <v>183</v>
      </c>
      <c r="M875" t="s">
        <v>57</v>
      </c>
      <c r="N875" t="s">
        <v>2004</v>
      </c>
      <c r="O875">
        <v>1</v>
      </c>
      <c r="P875">
        <v>1</v>
      </c>
      <c r="Q875">
        <v>0</v>
      </c>
      <c r="R875" s="1">
        <v>46195.681516203702</v>
      </c>
      <c r="S875" s="1">
        <v>46206.360960648148</v>
      </c>
    </row>
    <row r="876" spans="1:19" x14ac:dyDescent="0.25">
      <c r="A876">
        <v>2010110407</v>
      </c>
      <c r="B876" t="s">
        <v>28</v>
      </c>
      <c r="C876" t="s">
        <v>29</v>
      </c>
      <c r="D876" t="s">
        <v>2017</v>
      </c>
      <c r="E876" t="s">
        <v>2018</v>
      </c>
      <c r="F876" t="e">
        <f>--ds-btn-loading-warning-disabled-text</f>
        <v>#NAME?</v>
      </c>
      <c r="G876" t="s">
        <v>60</v>
      </c>
      <c r="H876" t="s">
        <v>60</v>
      </c>
      <c r="I876" t="s">
        <v>32</v>
      </c>
      <c r="J876" t="s">
        <v>24</v>
      </c>
      <c r="K876" t="s">
        <v>1837</v>
      </c>
      <c r="L876" t="s">
        <v>183</v>
      </c>
      <c r="M876" t="s">
        <v>61</v>
      </c>
      <c r="N876" t="s">
        <v>2004</v>
      </c>
      <c r="O876">
        <v>1</v>
      </c>
      <c r="P876">
        <v>1</v>
      </c>
      <c r="Q876">
        <v>0</v>
      </c>
      <c r="R876" s="1">
        <v>46195.681516203702</v>
      </c>
      <c r="S876" s="1">
        <v>46206.360960648148</v>
      </c>
    </row>
    <row r="877" spans="1:19" x14ac:dyDescent="0.25">
      <c r="A877">
        <v>2010110408</v>
      </c>
      <c r="B877" t="s">
        <v>28</v>
      </c>
      <c r="C877" t="s">
        <v>29</v>
      </c>
      <c r="D877" t="s">
        <v>2019</v>
      </c>
      <c r="E877" t="s">
        <v>2020</v>
      </c>
      <c r="F877" t="e">
        <f>--ds-btn-loading-warning-disabled-border</f>
        <v>#NAME?</v>
      </c>
      <c r="G877" t="s">
        <v>1346</v>
      </c>
      <c r="H877" t="s">
        <v>1346</v>
      </c>
      <c r="I877" t="s">
        <v>32</v>
      </c>
      <c r="J877" t="s">
        <v>24</v>
      </c>
      <c r="K877" t="s">
        <v>1837</v>
      </c>
      <c r="L877" t="s">
        <v>183</v>
      </c>
      <c r="M877" t="s">
        <v>65</v>
      </c>
      <c r="N877" t="s">
        <v>2004</v>
      </c>
      <c r="O877">
        <v>1</v>
      </c>
      <c r="P877">
        <v>1</v>
      </c>
      <c r="Q877">
        <v>0</v>
      </c>
      <c r="R877" s="1">
        <v>46195.681516203702</v>
      </c>
      <c r="S877" s="1">
        <v>46206.360960648148</v>
      </c>
    </row>
    <row r="878" spans="1:19" x14ac:dyDescent="0.25">
      <c r="A878">
        <v>2010110409</v>
      </c>
      <c r="B878" t="s">
        <v>28</v>
      </c>
      <c r="C878" t="s">
        <v>29</v>
      </c>
      <c r="D878" t="s">
        <v>2021</v>
      </c>
      <c r="E878" t="s">
        <v>2022</v>
      </c>
      <c r="F878" t="e">
        <f>--ds-btn-loading-warning-spinner-color</f>
        <v>#NAME?</v>
      </c>
      <c r="G878" t="s">
        <v>117</v>
      </c>
      <c r="H878" t="s">
        <v>117</v>
      </c>
      <c r="I878" t="s">
        <v>32</v>
      </c>
      <c r="J878" t="s">
        <v>24</v>
      </c>
      <c r="K878" t="s">
        <v>1837</v>
      </c>
      <c r="L878" t="s">
        <v>183</v>
      </c>
      <c r="M878" t="s">
        <v>1857</v>
      </c>
      <c r="N878" t="s">
        <v>2004</v>
      </c>
      <c r="O878">
        <v>1</v>
      </c>
      <c r="P878">
        <v>1</v>
      </c>
      <c r="Q878">
        <v>0</v>
      </c>
      <c r="R878" s="1">
        <v>46195.681516203702</v>
      </c>
      <c r="S878" s="1">
        <v>46206.360960648148</v>
      </c>
    </row>
    <row r="879" spans="1:19" x14ac:dyDescent="0.25">
      <c r="A879">
        <v>2010110410</v>
      </c>
      <c r="B879" t="s">
        <v>28</v>
      </c>
      <c r="C879" t="s">
        <v>29</v>
      </c>
      <c r="D879" t="s">
        <v>2023</v>
      </c>
      <c r="E879" t="s">
        <v>2024</v>
      </c>
      <c r="F879" t="e">
        <f>--ds-btn-loading-warning-spinner-size</f>
        <v>#NAME?</v>
      </c>
      <c r="G879" t="s">
        <v>105</v>
      </c>
      <c r="H879" t="s">
        <v>105</v>
      </c>
      <c r="I879" t="s">
        <v>32</v>
      </c>
      <c r="J879" t="s">
        <v>78</v>
      </c>
      <c r="K879" t="s">
        <v>1837</v>
      </c>
      <c r="L879" t="s">
        <v>183</v>
      </c>
      <c r="M879" t="s">
        <v>1860</v>
      </c>
      <c r="N879" t="s">
        <v>2004</v>
      </c>
      <c r="O879">
        <v>1</v>
      </c>
      <c r="P879">
        <v>0</v>
      </c>
      <c r="Q879">
        <v>0</v>
      </c>
      <c r="R879" s="1">
        <v>46195.681516203702</v>
      </c>
      <c r="S879" s="1">
        <v>46206.360960648148</v>
      </c>
    </row>
    <row r="880" spans="1:19" x14ac:dyDescent="0.25">
      <c r="A880">
        <v>2010110411</v>
      </c>
      <c r="B880" t="s">
        <v>28</v>
      </c>
      <c r="C880" t="s">
        <v>29</v>
      </c>
      <c r="D880" t="s">
        <v>2025</v>
      </c>
      <c r="E880" t="s">
        <v>2026</v>
      </c>
      <c r="F880" t="e">
        <f>--ds-btn-loading-warning-padding-x</f>
        <v>#NAME?</v>
      </c>
      <c r="G880" t="s">
        <v>77</v>
      </c>
      <c r="H880" t="s">
        <v>77</v>
      </c>
      <c r="I880" t="s">
        <v>32</v>
      </c>
      <c r="J880" t="s">
        <v>78</v>
      </c>
      <c r="K880" t="s">
        <v>1837</v>
      </c>
      <c r="L880" t="s">
        <v>183</v>
      </c>
      <c r="M880" t="s">
        <v>79</v>
      </c>
      <c r="N880" t="s">
        <v>2004</v>
      </c>
      <c r="O880">
        <v>1</v>
      </c>
      <c r="P880">
        <v>0</v>
      </c>
      <c r="Q880">
        <v>0</v>
      </c>
      <c r="R880" s="1">
        <v>46195.681516203702</v>
      </c>
      <c r="S880" s="1">
        <v>46206.360960648148</v>
      </c>
    </row>
    <row r="881" spans="1:19" x14ac:dyDescent="0.25">
      <c r="A881">
        <v>2010110412</v>
      </c>
      <c r="B881" t="s">
        <v>28</v>
      </c>
      <c r="C881" t="s">
        <v>29</v>
      </c>
      <c r="D881" t="s">
        <v>2027</v>
      </c>
      <c r="E881" t="s">
        <v>2028</v>
      </c>
      <c r="F881" t="e">
        <f>--ds-btn-loading-warning-padding-y</f>
        <v>#NAME?</v>
      </c>
      <c r="G881" t="s">
        <v>82</v>
      </c>
      <c r="H881" t="s">
        <v>82</v>
      </c>
      <c r="I881" t="s">
        <v>32</v>
      </c>
      <c r="J881" t="s">
        <v>78</v>
      </c>
      <c r="K881" t="s">
        <v>1837</v>
      </c>
      <c r="L881" t="s">
        <v>183</v>
      </c>
      <c r="M881" t="s">
        <v>83</v>
      </c>
      <c r="N881" t="s">
        <v>2004</v>
      </c>
      <c r="O881">
        <v>1</v>
      </c>
      <c r="P881">
        <v>0</v>
      </c>
      <c r="Q881">
        <v>0</v>
      </c>
      <c r="R881" s="1">
        <v>46195.681516203702</v>
      </c>
      <c r="S881" s="1">
        <v>46206.360960648148</v>
      </c>
    </row>
    <row r="882" spans="1:19" x14ac:dyDescent="0.25">
      <c r="A882">
        <v>2010110413</v>
      </c>
      <c r="B882" t="s">
        <v>28</v>
      </c>
      <c r="C882" t="s">
        <v>29</v>
      </c>
      <c r="D882" t="s">
        <v>2029</v>
      </c>
      <c r="E882" t="s">
        <v>2030</v>
      </c>
      <c r="F882" t="e">
        <f>--ds-btn-loading-warning-gap</f>
        <v>#NAME?</v>
      </c>
      <c r="G882" t="s">
        <v>86</v>
      </c>
      <c r="H882" t="s">
        <v>86</v>
      </c>
      <c r="I882" t="s">
        <v>32</v>
      </c>
      <c r="J882" t="s">
        <v>78</v>
      </c>
      <c r="K882" t="s">
        <v>1837</v>
      </c>
      <c r="L882" t="s">
        <v>183</v>
      </c>
      <c r="M882" t="s">
        <v>87</v>
      </c>
      <c r="N882" t="s">
        <v>2004</v>
      </c>
      <c r="O882">
        <v>1</v>
      </c>
      <c r="P882">
        <v>0</v>
      </c>
      <c r="Q882">
        <v>0</v>
      </c>
      <c r="R882" s="1">
        <v>46195.681516203702</v>
      </c>
      <c r="S882" s="1">
        <v>46206.360960648148</v>
      </c>
    </row>
    <row r="883" spans="1:19" x14ac:dyDescent="0.25">
      <c r="A883">
        <v>2010110414</v>
      </c>
      <c r="B883" t="s">
        <v>28</v>
      </c>
      <c r="C883" t="s">
        <v>29</v>
      </c>
      <c r="D883" t="s">
        <v>2031</v>
      </c>
      <c r="E883" t="s">
        <v>2032</v>
      </c>
      <c r="F883" t="e">
        <f>--ds-btn-loading-warning-focus-ring</f>
        <v>#NAME?</v>
      </c>
      <c r="G883" t="s">
        <v>1359</v>
      </c>
      <c r="H883" t="s">
        <v>1359</v>
      </c>
      <c r="I883" t="s">
        <v>32</v>
      </c>
      <c r="J883" t="s">
        <v>69</v>
      </c>
      <c r="K883" t="s">
        <v>1837</v>
      </c>
      <c r="L883" t="s">
        <v>183</v>
      </c>
      <c r="M883" t="s">
        <v>91</v>
      </c>
      <c r="N883" t="s">
        <v>2004</v>
      </c>
      <c r="O883">
        <v>1</v>
      </c>
      <c r="P883">
        <v>0</v>
      </c>
      <c r="Q883">
        <v>0</v>
      </c>
      <c r="R883" s="1">
        <v>46195.681516203702</v>
      </c>
      <c r="S883" s="1">
        <v>46206.360960648148</v>
      </c>
    </row>
    <row r="884" spans="1:19" x14ac:dyDescent="0.25">
      <c r="A884">
        <v>2010110415</v>
      </c>
      <c r="B884" t="s">
        <v>28</v>
      </c>
      <c r="C884" t="s">
        <v>29</v>
      </c>
      <c r="D884" t="s">
        <v>2033</v>
      </c>
      <c r="E884" t="s">
        <v>2034</v>
      </c>
      <c r="F884" t="e">
        <f>--ds-btn-loading-warning-outline</f>
        <v>#NAME?</v>
      </c>
      <c r="G884" t="s">
        <v>94</v>
      </c>
      <c r="H884" t="s">
        <v>94</v>
      </c>
      <c r="I884" t="s">
        <v>32</v>
      </c>
      <c r="J884" t="s">
        <v>69</v>
      </c>
      <c r="K884" t="s">
        <v>1837</v>
      </c>
      <c r="L884" t="s">
        <v>183</v>
      </c>
      <c r="M884" t="s">
        <v>95</v>
      </c>
      <c r="N884" t="s">
        <v>2004</v>
      </c>
      <c r="O884">
        <v>1</v>
      </c>
      <c r="P884">
        <v>0</v>
      </c>
      <c r="Q884">
        <v>0</v>
      </c>
      <c r="R884" s="1">
        <v>46195.681516203702</v>
      </c>
      <c r="S884" s="1">
        <v>46206.360960648148</v>
      </c>
    </row>
    <row r="885" spans="1:19" x14ac:dyDescent="0.25">
      <c r="A885">
        <v>2010110416</v>
      </c>
      <c r="B885" t="s">
        <v>28</v>
      </c>
      <c r="C885" t="s">
        <v>29</v>
      </c>
      <c r="D885" t="s">
        <v>2035</v>
      </c>
      <c r="E885" t="s">
        <v>2036</v>
      </c>
      <c r="F885" t="e">
        <f>--ds-btn-loading-warning-transition</f>
        <v>#NAME?</v>
      </c>
      <c r="G885" t="s">
        <v>98</v>
      </c>
      <c r="H885" t="s">
        <v>98</v>
      </c>
      <c r="I885" t="s">
        <v>32</v>
      </c>
      <c r="J885" t="s">
        <v>69</v>
      </c>
      <c r="K885" t="s">
        <v>1837</v>
      </c>
      <c r="L885" t="s">
        <v>183</v>
      </c>
      <c r="M885" t="s">
        <v>99</v>
      </c>
      <c r="N885" t="s">
        <v>2004</v>
      </c>
      <c r="O885">
        <v>1</v>
      </c>
      <c r="P885">
        <v>0</v>
      </c>
      <c r="Q885">
        <v>0</v>
      </c>
      <c r="R885" s="1">
        <v>46195.681516203702</v>
      </c>
      <c r="S885" s="1">
        <v>46206.360960648148</v>
      </c>
    </row>
    <row r="886" spans="1:19" x14ac:dyDescent="0.25">
      <c r="A886">
        <v>2010110417</v>
      </c>
      <c r="B886" t="s">
        <v>28</v>
      </c>
      <c r="C886" t="s">
        <v>29</v>
      </c>
      <c r="D886" t="s">
        <v>2037</v>
      </c>
      <c r="E886" t="s">
        <v>2038</v>
      </c>
      <c r="F886" t="e">
        <f>--ds-btn-loading-warning-icon-color</f>
        <v>#NAME?</v>
      </c>
      <c r="G886" t="s">
        <v>117</v>
      </c>
      <c r="H886" t="s">
        <v>117</v>
      </c>
      <c r="I886" t="s">
        <v>32</v>
      </c>
      <c r="J886" t="s">
        <v>24</v>
      </c>
      <c r="K886" t="s">
        <v>1837</v>
      </c>
      <c r="L886" t="s">
        <v>183</v>
      </c>
      <c r="M886" t="s">
        <v>102</v>
      </c>
      <c r="N886" t="s">
        <v>2004</v>
      </c>
      <c r="O886">
        <v>1</v>
      </c>
      <c r="P886">
        <v>0</v>
      </c>
      <c r="Q886">
        <v>0</v>
      </c>
      <c r="R886" s="1">
        <v>46195.681516203702</v>
      </c>
      <c r="S886" s="1">
        <v>46206.360960648148</v>
      </c>
    </row>
    <row r="887" spans="1:19" x14ac:dyDescent="0.25">
      <c r="A887">
        <v>2010110418</v>
      </c>
      <c r="B887" t="s">
        <v>28</v>
      </c>
      <c r="C887" t="s">
        <v>29</v>
      </c>
      <c r="D887" t="s">
        <v>2039</v>
      </c>
      <c r="E887" t="s">
        <v>2040</v>
      </c>
      <c r="F887" t="e">
        <f>--ds-btn-loading-warning-icon-size</f>
        <v>#NAME?</v>
      </c>
      <c r="G887" t="s">
        <v>105</v>
      </c>
      <c r="H887" t="s">
        <v>105</v>
      </c>
      <c r="I887" t="s">
        <v>32</v>
      </c>
      <c r="J887" t="s">
        <v>78</v>
      </c>
      <c r="K887" t="s">
        <v>1837</v>
      </c>
      <c r="L887" t="s">
        <v>183</v>
      </c>
      <c r="M887" t="s">
        <v>106</v>
      </c>
      <c r="N887" t="s">
        <v>2004</v>
      </c>
      <c r="O887">
        <v>1</v>
      </c>
      <c r="P887">
        <v>0</v>
      </c>
      <c r="Q887">
        <v>0</v>
      </c>
      <c r="R887" s="1">
        <v>46195.681516203702</v>
      </c>
      <c r="S887" s="1">
        <v>46206.360960648148</v>
      </c>
    </row>
    <row r="888" spans="1:19" x14ac:dyDescent="0.25">
      <c r="A888">
        <v>2010110419</v>
      </c>
      <c r="B888" t="s">
        <v>28</v>
      </c>
      <c r="C888" t="s">
        <v>29</v>
      </c>
      <c r="D888" t="s">
        <v>2041</v>
      </c>
      <c r="E888" t="s">
        <v>2042</v>
      </c>
      <c r="F888" t="e">
        <f>--ds-btn-loading-warning-line-height</f>
        <v>#NAME?</v>
      </c>
      <c r="G888">
        <v>1.2</v>
      </c>
      <c r="H888">
        <v>1.2</v>
      </c>
      <c r="I888" t="s">
        <v>32</v>
      </c>
      <c r="J888" t="s">
        <v>78</v>
      </c>
      <c r="K888" t="s">
        <v>1837</v>
      </c>
      <c r="L888" t="s">
        <v>183</v>
      </c>
      <c r="M888" t="s">
        <v>109</v>
      </c>
      <c r="N888" t="s">
        <v>2004</v>
      </c>
      <c r="O888">
        <v>1</v>
      </c>
      <c r="P888">
        <v>0</v>
      </c>
      <c r="Q888">
        <v>0</v>
      </c>
      <c r="R888" s="1">
        <v>46195.681516203702</v>
      </c>
      <c r="S888" s="1">
        <v>46206.360960648148</v>
      </c>
    </row>
    <row r="889" spans="1:19" x14ac:dyDescent="0.25">
      <c r="A889">
        <v>2010110500</v>
      </c>
      <c r="B889" t="s">
        <v>28</v>
      </c>
      <c r="C889" t="s">
        <v>29</v>
      </c>
      <c r="D889" t="s">
        <v>2043</v>
      </c>
      <c r="E889" t="s">
        <v>2044</v>
      </c>
      <c r="F889" t="e">
        <f>--ds-btn-loading-info-bg</f>
        <v>#NAME?</v>
      </c>
      <c r="G889" t="s">
        <v>204</v>
      </c>
      <c r="H889" t="s">
        <v>204</v>
      </c>
      <c r="I889" t="s">
        <v>32</v>
      </c>
      <c r="J889" t="s">
        <v>24</v>
      </c>
      <c r="K889" t="s">
        <v>1837</v>
      </c>
      <c r="L889" t="s">
        <v>205</v>
      </c>
      <c r="M889" t="s">
        <v>26</v>
      </c>
      <c r="N889" t="s">
        <v>2045</v>
      </c>
      <c r="O889">
        <v>1</v>
      </c>
      <c r="P889">
        <v>1</v>
      </c>
      <c r="Q889">
        <v>0</v>
      </c>
      <c r="R889" s="1">
        <v>46195.681979166664</v>
      </c>
      <c r="S889" s="1">
        <v>46206.360960648148</v>
      </c>
    </row>
    <row r="890" spans="1:19" x14ac:dyDescent="0.25">
      <c r="A890">
        <v>2010110501</v>
      </c>
      <c r="B890" t="s">
        <v>28</v>
      </c>
      <c r="C890" t="s">
        <v>29</v>
      </c>
      <c r="D890" t="s">
        <v>2046</v>
      </c>
      <c r="E890" t="s">
        <v>2047</v>
      </c>
      <c r="F890" t="e">
        <f>--ds-btn-loading-info-text</f>
        <v>#NAME?</v>
      </c>
      <c r="G890" t="s">
        <v>117</v>
      </c>
      <c r="H890" t="s">
        <v>117</v>
      </c>
      <c r="I890" t="s">
        <v>32</v>
      </c>
      <c r="J890" t="s">
        <v>24</v>
      </c>
      <c r="K890" t="s">
        <v>1837</v>
      </c>
      <c r="L890" t="s">
        <v>205</v>
      </c>
      <c r="M890" t="s">
        <v>38</v>
      </c>
      <c r="N890" t="s">
        <v>2045</v>
      </c>
      <c r="O890">
        <v>1</v>
      </c>
      <c r="P890">
        <v>1</v>
      </c>
      <c r="Q890">
        <v>0</v>
      </c>
      <c r="R890" s="1">
        <v>46195.681979166664</v>
      </c>
      <c r="S890" s="1">
        <v>46206.360960648148</v>
      </c>
    </row>
    <row r="891" spans="1:19" x14ac:dyDescent="0.25">
      <c r="A891">
        <v>2010110502</v>
      </c>
      <c r="B891" t="s">
        <v>28</v>
      </c>
      <c r="C891" t="s">
        <v>29</v>
      </c>
      <c r="D891" t="s">
        <v>2048</v>
      </c>
      <c r="E891" t="s">
        <v>2049</v>
      </c>
      <c r="F891" t="e">
        <f>--ds-btn-loading-info-border</f>
        <v>#NAME?</v>
      </c>
      <c r="G891" t="s">
        <v>204</v>
      </c>
      <c r="H891" t="s">
        <v>204</v>
      </c>
      <c r="I891" t="s">
        <v>32</v>
      </c>
      <c r="J891" t="s">
        <v>24</v>
      </c>
      <c r="K891" t="s">
        <v>1837</v>
      </c>
      <c r="L891" t="s">
        <v>205</v>
      </c>
      <c r="M891" t="s">
        <v>42</v>
      </c>
      <c r="N891" t="s">
        <v>2045</v>
      </c>
      <c r="O891">
        <v>1</v>
      </c>
      <c r="P891">
        <v>1</v>
      </c>
      <c r="Q891">
        <v>0</v>
      </c>
      <c r="R891" s="1">
        <v>46195.681979166664</v>
      </c>
      <c r="S891" s="1">
        <v>46206.360960648148</v>
      </c>
    </row>
    <row r="892" spans="1:19" x14ac:dyDescent="0.25">
      <c r="A892">
        <v>2010110503</v>
      </c>
      <c r="B892" t="s">
        <v>28</v>
      </c>
      <c r="C892" t="s">
        <v>29</v>
      </c>
      <c r="D892" t="s">
        <v>2050</v>
      </c>
      <c r="E892" t="s">
        <v>2051</v>
      </c>
      <c r="F892" t="e">
        <f>--ds-btn-loading-info-hover-bg</f>
        <v>#NAME?</v>
      </c>
      <c r="G892" t="s">
        <v>213</v>
      </c>
      <c r="H892" t="s">
        <v>213</v>
      </c>
      <c r="I892" t="s">
        <v>32</v>
      </c>
      <c r="J892" t="s">
        <v>24</v>
      </c>
      <c r="K892" t="s">
        <v>1837</v>
      </c>
      <c r="L892" t="s">
        <v>205</v>
      </c>
      <c r="M892" t="s">
        <v>46</v>
      </c>
      <c r="N892" t="s">
        <v>2045</v>
      </c>
      <c r="O892">
        <v>1</v>
      </c>
      <c r="P892">
        <v>1</v>
      </c>
      <c r="Q892">
        <v>0</v>
      </c>
      <c r="R892" s="1">
        <v>46195.681979166664</v>
      </c>
      <c r="S892" s="1">
        <v>46206.360960648148</v>
      </c>
    </row>
    <row r="893" spans="1:19" x14ac:dyDescent="0.25">
      <c r="A893">
        <v>2010110504</v>
      </c>
      <c r="B893" t="s">
        <v>28</v>
      </c>
      <c r="C893" t="s">
        <v>29</v>
      </c>
      <c r="D893" t="s">
        <v>2052</v>
      </c>
      <c r="E893" t="s">
        <v>2053</v>
      </c>
      <c r="F893" t="e">
        <f>--ds-btn-loading-info-hover-text</f>
        <v>#NAME?</v>
      </c>
      <c r="G893" t="s">
        <v>117</v>
      </c>
      <c r="H893" t="s">
        <v>117</v>
      </c>
      <c r="I893" t="s">
        <v>32</v>
      </c>
      <c r="J893" t="s">
        <v>24</v>
      </c>
      <c r="K893" t="s">
        <v>1837</v>
      </c>
      <c r="L893" t="s">
        <v>205</v>
      </c>
      <c r="M893" t="s">
        <v>49</v>
      </c>
      <c r="N893" t="s">
        <v>2045</v>
      </c>
      <c r="O893">
        <v>1</v>
      </c>
      <c r="P893">
        <v>1</v>
      </c>
      <c r="Q893">
        <v>0</v>
      </c>
      <c r="R893" s="1">
        <v>46195.681979166664</v>
      </c>
      <c r="S893" s="1">
        <v>46206.360960648148</v>
      </c>
    </row>
    <row r="894" spans="1:19" x14ac:dyDescent="0.25">
      <c r="A894">
        <v>2010110505</v>
      </c>
      <c r="B894" t="s">
        <v>28</v>
      </c>
      <c r="C894" t="s">
        <v>29</v>
      </c>
      <c r="D894" t="s">
        <v>2054</v>
      </c>
      <c r="E894" t="s">
        <v>2055</v>
      </c>
      <c r="F894" t="e">
        <f>--ds-btn-loading-info-hover-border</f>
        <v>#NAME?</v>
      </c>
      <c r="G894" t="s">
        <v>2056</v>
      </c>
      <c r="H894" t="s">
        <v>2056</v>
      </c>
      <c r="I894" t="s">
        <v>32</v>
      </c>
      <c r="J894" t="s">
        <v>24</v>
      </c>
      <c r="K894" t="s">
        <v>1837</v>
      </c>
      <c r="L894" t="s">
        <v>205</v>
      </c>
      <c r="M894" t="s">
        <v>53</v>
      </c>
      <c r="N894" t="s">
        <v>2045</v>
      </c>
      <c r="O894">
        <v>1</v>
      </c>
      <c r="P894">
        <v>1</v>
      </c>
      <c r="Q894">
        <v>0</v>
      </c>
      <c r="R894" s="1">
        <v>46195.681979166664</v>
      </c>
      <c r="S894" s="1">
        <v>46206.360960648148</v>
      </c>
    </row>
    <row r="895" spans="1:19" x14ac:dyDescent="0.25">
      <c r="A895">
        <v>2010110506</v>
      </c>
      <c r="B895" t="s">
        <v>28</v>
      </c>
      <c r="C895" t="s">
        <v>29</v>
      </c>
      <c r="D895" t="s">
        <v>2057</v>
      </c>
      <c r="E895" t="s">
        <v>2058</v>
      </c>
      <c r="F895" t="e">
        <f>--ds-btn-loading-info-disabled-bg</f>
        <v>#NAME?</v>
      </c>
      <c r="G895" t="s">
        <v>530</v>
      </c>
      <c r="H895" t="s">
        <v>530</v>
      </c>
      <c r="I895" t="s">
        <v>32</v>
      </c>
      <c r="J895" t="s">
        <v>24</v>
      </c>
      <c r="K895" t="s">
        <v>1837</v>
      </c>
      <c r="L895" t="s">
        <v>205</v>
      </c>
      <c r="M895" t="s">
        <v>57</v>
      </c>
      <c r="N895" t="s">
        <v>2045</v>
      </c>
      <c r="O895">
        <v>1</v>
      </c>
      <c r="P895">
        <v>1</v>
      </c>
      <c r="Q895">
        <v>0</v>
      </c>
      <c r="R895" s="1">
        <v>46195.681979166664</v>
      </c>
      <c r="S895" s="1">
        <v>46206.360960648148</v>
      </c>
    </row>
    <row r="896" spans="1:19" x14ac:dyDescent="0.25">
      <c r="A896">
        <v>2010110507</v>
      </c>
      <c r="B896" t="s">
        <v>28</v>
      </c>
      <c r="C896" t="s">
        <v>29</v>
      </c>
      <c r="D896" t="s">
        <v>2059</v>
      </c>
      <c r="E896" t="s">
        <v>2060</v>
      </c>
      <c r="F896" t="e">
        <f>--ds-btn-loading-info-disabled-text</f>
        <v>#NAME?</v>
      </c>
      <c r="G896" t="s">
        <v>60</v>
      </c>
      <c r="H896" t="s">
        <v>60</v>
      </c>
      <c r="I896" t="s">
        <v>32</v>
      </c>
      <c r="J896" t="s">
        <v>24</v>
      </c>
      <c r="K896" t="s">
        <v>1837</v>
      </c>
      <c r="L896" t="s">
        <v>205</v>
      </c>
      <c r="M896" t="s">
        <v>61</v>
      </c>
      <c r="N896" t="s">
        <v>2045</v>
      </c>
      <c r="O896">
        <v>1</v>
      </c>
      <c r="P896">
        <v>1</v>
      </c>
      <c r="Q896">
        <v>0</v>
      </c>
      <c r="R896" s="1">
        <v>46195.681979166664</v>
      </c>
      <c r="S896" s="1">
        <v>46206.360960648148</v>
      </c>
    </row>
    <row r="897" spans="1:19" x14ac:dyDescent="0.25">
      <c r="A897">
        <v>2010110508</v>
      </c>
      <c r="B897" t="s">
        <v>28</v>
      </c>
      <c r="C897" t="s">
        <v>29</v>
      </c>
      <c r="D897" t="s">
        <v>2061</v>
      </c>
      <c r="E897" t="s">
        <v>2062</v>
      </c>
      <c r="F897" t="e">
        <f>--ds-btn-loading-info-disabled-border</f>
        <v>#NAME?</v>
      </c>
      <c r="G897" t="s">
        <v>539</v>
      </c>
      <c r="H897" t="s">
        <v>539</v>
      </c>
      <c r="I897" t="s">
        <v>32</v>
      </c>
      <c r="J897" t="s">
        <v>24</v>
      </c>
      <c r="K897" t="s">
        <v>1837</v>
      </c>
      <c r="L897" t="s">
        <v>205</v>
      </c>
      <c r="M897" t="s">
        <v>65</v>
      </c>
      <c r="N897" t="s">
        <v>2045</v>
      </c>
      <c r="O897">
        <v>1</v>
      </c>
      <c r="P897">
        <v>1</v>
      </c>
      <c r="Q897">
        <v>0</v>
      </c>
      <c r="R897" s="1">
        <v>46195.681979166664</v>
      </c>
      <c r="S897" s="1">
        <v>46206.360960648148</v>
      </c>
    </row>
    <row r="898" spans="1:19" x14ac:dyDescent="0.25">
      <c r="A898">
        <v>2010110509</v>
      </c>
      <c r="B898" t="s">
        <v>28</v>
      </c>
      <c r="C898" t="s">
        <v>29</v>
      </c>
      <c r="D898" t="s">
        <v>2063</v>
      </c>
      <c r="E898" t="s">
        <v>2064</v>
      </c>
      <c r="F898" t="e">
        <f>--ds-btn-loading-info-spinner-color</f>
        <v>#NAME?</v>
      </c>
      <c r="G898" t="s">
        <v>117</v>
      </c>
      <c r="H898" t="s">
        <v>117</v>
      </c>
      <c r="I898" t="s">
        <v>32</v>
      </c>
      <c r="J898" t="s">
        <v>24</v>
      </c>
      <c r="K898" t="s">
        <v>1837</v>
      </c>
      <c r="L898" t="s">
        <v>205</v>
      </c>
      <c r="M898" t="s">
        <v>1857</v>
      </c>
      <c r="N898" t="s">
        <v>2045</v>
      </c>
      <c r="O898">
        <v>1</v>
      </c>
      <c r="P898">
        <v>1</v>
      </c>
      <c r="Q898">
        <v>0</v>
      </c>
      <c r="R898" s="1">
        <v>46195.681979166664</v>
      </c>
      <c r="S898" s="1">
        <v>46206.360960648148</v>
      </c>
    </row>
    <row r="899" spans="1:19" x14ac:dyDescent="0.25">
      <c r="A899">
        <v>2010110510</v>
      </c>
      <c r="B899" t="s">
        <v>28</v>
      </c>
      <c r="C899" t="s">
        <v>29</v>
      </c>
      <c r="D899" t="s">
        <v>2065</v>
      </c>
      <c r="E899" t="s">
        <v>2066</v>
      </c>
      <c r="F899" t="e">
        <f>--ds-btn-loading-info-spinner-size</f>
        <v>#NAME?</v>
      </c>
      <c r="G899" t="s">
        <v>105</v>
      </c>
      <c r="H899" t="s">
        <v>105</v>
      </c>
      <c r="I899" t="s">
        <v>32</v>
      </c>
      <c r="J899" t="s">
        <v>78</v>
      </c>
      <c r="K899" t="s">
        <v>1837</v>
      </c>
      <c r="L899" t="s">
        <v>205</v>
      </c>
      <c r="M899" t="s">
        <v>1860</v>
      </c>
      <c r="N899" t="s">
        <v>2045</v>
      </c>
      <c r="O899">
        <v>1</v>
      </c>
      <c r="P899">
        <v>0</v>
      </c>
      <c r="Q899">
        <v>0</v>
      </c>
      <c r="R899" s="1">
        <v>46195.681979166664</v>
      </c>
      <c r="S899" s="1">
        <v>46206.360960648148</v>
      </c>
    </row>
    <row r="900" spans="1:19" x14ac:dyDescent="0.25">
      <c r="A900">
        <v>2010110511</v>
      </c>
      <c r="B900" t="s">
        <v>28</v>
      </c>
      <c r="C900" t="s">
        <v>29</v>
      </c>
      <c r="D900" t="s">
        <v>2067</v>
      </c>
      <c r="E900" t="s">
        <v>2068</v>
      </c>
      <c r="F900" t="e">
        <f>--ds-btn-loading-info-padding-x</f>
        <v>#NAME?</v>
      </c>
      <c r="G900" t="s">
        <v>77</v>
      </c>
      <c r="H900" t="s">
        <v>77</v>
      </c>
      <c r="I900" t="s">
        <v>32</v>
      </c>
      <c r="J900" t="s">
        <v>78</v>
      </c>
      <c r="K900" t="s">
        <v>1837</v>
      </c>
      <c r="L900" t="s">
        <v>205</v>
      </c>
      <c r="M900" t="s">
        <v>79</v>
      </c>
      <c r="N900" t="s">
        <v>2045</v>
      </c>
      <c r="O900">
        <v>1</v>
      </c>
      <c r="P900">
        <v>0</v>
      </c>
      <c r="Q900">
        <v>0</v>
      </c>
      <c r="R900" s="1">
        <v>46195.681979166664</v>
      </c>
      <c r="S900" s="1">
        <v>46206.360960648148</v>
      </c>
    </row>
    <row r="901" spans="1:19" x14ac:dyDescent="0.25">
      <c r="A901">
        <v>2010110512</v>
      </c>
      <c r="B901" t="s">
        <v>28</v>
      </c>
      <c r="C901" t="s">
        <v>29</v>
      </c>
      <c r="D901" t="s">
        <v>2069</v>
      </c>
      <c r="E901" t="s">
        <v>2070</v>
      </c>
      <c r="F901" t="e">
        <f>--ds-btn-loading-info-padding-y</f>
        <v>#NAME?</v>
      </c>
      <c r="G901" t="s">
        <v>82</v>
      </c>
      <c r="H901" t="s">
        <v>82</v>
      </c>
      <c r="I901" t="s">
        <v>32</v>
      </c>
      <c r="J901" t="s">
        <v>78</v>
      </c>
      <c r="K901" t="s">
        <v>1837</v>
      </c>
      <c r="L901" t="s">
        <v>205</v>
      </c>
      <c r="M901" t="s">
        <v>83</v>
      </c>
      <c r="N901" t="s">
        <v>2045</v>
      </c>
      <c r="O901">
        <v>1</v>
      </c>
      <c r="P901">
        <v>0</v>
      </c>
      <c r="Q901">
        <v>0</v>
      </c>
      <c r="R901" s="1">
        <v>46195.681979166664</v>
      </c>
      <c r="S901" s="1">
        <v>46206.360960648148</v>
      </c>
    </row>
    <row r="902" spans="1:19" x14ac:dyDescent="0.25">
      <c r="A902">
        <v>2010110513</v>
      </c>
      <c r="B902" t="s">
        <v>28</v>
      </c>
      <c r="C902" t="s">
        <v>29</v>
      </c>
      <c r="D902" t="s">
        <v>2071</v>
      </c>
      <c r="E902" t="s">
        <v>2072</v>
      </c>
      <c r="F902" t="e">
        <f>--ds-btn-loading-info-gap</f>
        <v>#NAME?</v>
      </c>
      <c r="G902" t="s">
        <v>86</v>
      </c>
      <c r="H902" t="s">
        <v>86</v>
      </c>
      <c r="I902" t="s">
        <v>32</v>
      </c>
      <c r="J902" t="s">
        <v>78</v>
      </c>
      <c r="K902" t="s">
        <v>1837</v>
      </c>
      <c r="L902" t="s">
        <v>205</v>
      </c>
      <c r="M902" t="s">
        <v>87</v>
      </c>
      <c r="N902" t="s">
        <v>2045</v>
      </c>
      <c r="O902">
        <v>1</v>
      </c>
      <c r="P902">
        <v>0</v>
      </c>
      <c r="Q902">
        <v>0</v>
      </c>
      <c r="R902" s="1">
        <v>46195.681979166664</v>
      </c>
      <c r="S902" s="1">
        <v>46206.360960648148</v>
      </c>
    </row>
    <row r="903" spans="1:19" x14ac:dyDescent="0.25">
      <c r="A903">
        <v>2010110514</v>
      </c>
      <c r="B903" t="s">
        <v>28</v>
      </c>
      <c r="C903" t="s">
        <v>29</v>
      </c>
      <c r="D903" t="s">
        <v>2073</v>
      </c>
      <c r="E903" t="s">
        <v>2074</v>
      </c>
      <c r="F903" t="e">
        <f>--ds-btn-loading-info-focus-ring</f>
        <v>#NAME?</v>
      </c>
      <c r="G903" t="s">
        <v>1401</v>
      </c>
      <c r="H903" t="s">
        <v>1401</v>
      </c>
      <c r="I903" t="s">
        <v>32</v>
      </c>
      <c r="J903" t="s">
        <v>69</v>
      </c>
      <c r="K903" t="s">
        <v>1837</v>
      </c>
      <c r="L903" t="s">
        <v>205</v>
      </c>
      <c r="M903" t="s">
        <v>91</v>
      </c>
      <c r="N903" t="s">
        <v>2045</v>
      </c>
      <c r="O903">
        <v>1</v>
      </c>
      <c r="P903">
        <v>0</v>
      </c>
      <c r="Q903">
        <v>0</v>
      </c>
      <c r="R903" s="1">
        <v>46195.681979166664</v>
      </c>
      <c r="S903" s="1">
        <v>46206.360960648148</v>
      </c>
    </row>
    <row r="904" spans="1:19" x14ac:dyDescent="0.25">
      <c r="A904">
        <v>2010110515</v>
      </c>
      <c r="B904" t="s">
        <v>28</v>
      </c>
      <c r="C904" t="s">
        <v>29</v>
      </c>
      <c r="D904" t="s">
        <v>2075</v>
      </c>
      <c r="E904" t="s">
        <v>2076</v>
      </c>
      <c r="F904" t="e">
        <f>--ds-btn-loading-info-outline</f>
        <v>#NAME?</v>
      </c>
      <c r="G904" t="s">
        <v>94</v>
      </c>
      <c r="H904" t="s">
        <v>94</v>
      </c>
      <c r="I904" t="s">
        <v>32</v>
      </c>
      <c r="J904" t="s">
        <v>69</v>
      </c>
      <c r="K904" t="s">
        <v>1837</v>
      </c>
      <c r="L904" t="s">
        <v>205</v>
      </c>
      <c r="M904" t="s">
        <v>95</v>
      </c>
      <c r="N904" t="s">
        <v>2045</v>
      </c>
      <c r="O904">
        <v>1</v>
      </c>
      <c r="P904">
        <v>0</v>
      </c>
      <c r="Q904">
        <v>0</v>
      </c>
      <c r="R904" s="1">
        <v>46195.681979166664</v>
      </c>
      <c r="S904" s="1">
        <v>46206.360960648148</v>
      </c>
    </row>
    <row r="905" spans="1:19" x14ac:dyDescent="0.25">
      <c r="A905">
        <v>2010110516</v>
      </c>
      <c r="B905" t="s">
        <v>28</v>
      </c>
      <c r="C905" t="s">
        <v>29</v>
      </c>
      <c r="D905" t="s">
        <v>2077</v>
      </c>
      <c r="E905" t="s">
        <v>2078</v>
      </c>
      <c r="F905" t="e">
        <f>--ds-btn-loading-info-transition</f>
        <v>#NAME?</v>
      </c>
      <c r="G905" t="s">
        <v>98</v>
      </c>
      <c r="H905" t="s">
        <v>98</v>
      </c>
      <c r="I905" t="s">
        <v>32</v>
      </c>
      <c r="J905" t="s">
        <v>69</v>
      </c>
      <c r="K905" t="s">
        <v>1837</v>
      </c>
      <c r="L905" t="s">
        <v>205</v>
      </c>
      <c r="M905" t="s">
        <v>99</v>
      </c>
      <c r="N905" t="s">
        <v>2045</v>
      </c>
      <c r="O905">
        <v>1</v>
      </c>
      <c r="P905">
        <v>0</v>
      </c>
      <c r="Q905">
        <v>0</v>
      </c>
      <c r="R905" s="1">
        <v>46195.681979166664</v>
      </c>
      <c r="S905" s="1">
        <v>46206.360960648148</v>
      </c>
    </row>
    <row r="906" spans="1:19" x14ac:dyDescent="0.25">
      <c r="A906">
        <v>2010110517</v>
      </c>
      <c r="B906" t="s">
        <v>28</v>
      </c>
      <c r="C906" t="s">
        <v>29</v>
      </c>
      <c r="D906" t="s">
        <v>2079</v>
      </c>
      <c r="E906" t="s">
        <v>2080</v>
      </c>
      <c r="F906" t="e">
        <f>--ds-btn-loading-info-icon-color</f>
        <v>#NAME?</v>
      </c>
      <c r="G906" t="s">
        <v>117</v>
      </c>
      <c r="H906" t="s">
        <v>117</v>
      </c>
      <c r="I906" t="s">
        <v>32</v>
      </c>
      <c r="J906" t="s">
        <v>24</v>
      </c>
      <c r="K906" t="s">
        <v>1837</v>
      </c>
      <c r="L906" t="s">
        <v>205</v>
      </c>
      <c r="M906" t="s">
        <v>102</v>
      </c>
      <c r="N906" t="s">
        <v>2045</v>
      </c>
      <c r="O906">
        <v>1</v>
      </c>
      <c r="P906">
        <v>0</v>
      </c>
      <c r="Q906">
        <v>0</v>
      </c>
      <c r="R906" s="1">
        <v>46195.681979166664</v>
      </c>
      <c r="S906" s="1">
        <v>46206.360960648148</v>
      </c>
    </row>
    <row r="907" spans="1:19" x14ac:dyDescent="0.25">
      <c r="A907">
        <v>2010110518</v>
      </c>
      <c r="B907" t="s">
        <v>28</v>
      </c>
      <c r="C907" t="s">
        <v>29</v>
      </c>
      <c r="D907" t="s">
        <v>2081</v>
      </c>
      <c r="E907" t="s">
        <v>2082</v>
      </c>
      <c r="F907" t="e">
        <f>--ds-btn-loading-info-icon-size</f>
        <v>#NAME?</v>
      </c>
      <c r="G907" t="s">
        <v>105</v>
      </c>
      <c r="H907" t="s">
        <v>105</v>
      </c>
      <c r="I907" t="s">
        <v>32</v>
      </c>
      <c r="J907" t="s">
        <v>78</v>
      </c>
      <c r="K907" t="s">
        <v>1837</v>
      </c>
      <c r="L907" t="s">
        <v>205</v>
      </c>
      <c r="M907" t="s">
        <v>106</v>
      </c>
      <c r="N907" t="s">
        <v>2045</v>
      </c>
      <c r="O907">
        <v>1</v>
      </c>
      <c r="P907">
        <v>0</v>
      </c>
      <c r="Q907">
        <v>0</v>
      </c>
      <c r="R907" s="1">
        <v>46195.681979166664</v>
      </c>
      <c r="S907" s="1">
        <v>46206.360960648148</v>
      </c>
    </row>
    <row r="908" spans="1:19" x14ac:dyDescent="0.25">
      <c r="A908">
        <v>2010110519</v>
      </c>
      <c r="B908" t="s">
        <v>28</v>
      </c>
      <c r="C908" t="s">
        <v>29</v>
      </c>
      <c r="D908" t="s">
        <v>2083</v>
      </c>
      <c r="E908" t="s">
        <v>2084</v>
      </c>
      <c r="F908" t="e">
        <f>--ds-btn-loading-info-line-height</f>
        <v>#NAME?</v>
      </c>
      <c r="G908">
        <v>1.2</v>
      </c>
      <c r="H908">
        <v>1.2</v>
      </c>
      <c r="I908" t="s">
        <v>32</v>
      </c>
      <c r="J908" t="s">
        <v>78</v>
      </c>
      <c r="K908" t="s">
        <v>1837</v>
      </c>
      <c r="L908" t="s">
        <v>205</v>
      </c>
      <c r="M908" t="s">
        <v>109</v>
      </c>
      <c r="N908" t="s">
        <v>2045</v>
      </c>
      <c r="O908">
        <v>1</v>
      </c>
      <c r="P908">
        <v>0</v>
      </c>
      <c r="Q908">
        <v>0</v>
      </c>
      <c r="R908" s="1">
        <v>46195.681979166664</v>
      </c>
      <c r="S908" s="1">
        <v>46206.360960648148</v>
      </c>
    </row>
    <row r="909" spans="1:19" x14ac:dyDescent="0.25">
      <c r="A909">
        <v>2010110600</v>
      </c>
      <c r="B909" t="s">
        <v>28</v>
      </c>
      <c r="C909" t="s">
        <v>29</v>
      </c>
      <c r="D909" t="s">
        <v>2085</v>
      </c>
      <c r="E909" t="s">
        <v>2086</v>
      </c>
      <c r="F909" t="e">
        <f>--ds-btn-loading-light-bg</f>
        <v>#NAME?</v>
      </c>
      <c r="G909" t="s">
        <v>123</v>
      </c>
      <c r="H909" t="s">
        <v>123</v>
      </c>
      <c r="I909" t="s">
        <v>32</v>
      </c>
      <c r="J909" t="s">
        <v>24</v>
      </c>
      <c r="K909" t="s">
        <v>1837</v>
      </c>
      <c r="L909" t="s">
        <v>226</v>
      </c>
      <c r="M909" t="s">
        <v>26</v>
      </c>
      <c r="N909" t="s">
        <v>2087</v>
      </c>
      <c r="O909">
        <v>1</v>
      </c>
      <c r="P909">
        <v>1</v>
      </c>
      <c r="Q909">
        <v>0</v>
      </c>
      <c r="R909" s="1">
        <v>46195.682384259257</v>
      </c>
      <c r="S909" s="1">
        <v>46206.360960648148</v>
      </c>
    </row>
    <row r="910" spans="1:19" x14ac:dyDescent="0.25">
      <c r="A910">
        <v>2010110601</v>
      </c>
      <c r="B910" t="s">
        <v>28</v>
      </c>
      <c r="C910" t="s">
        <v>29</v>
      </c>
      <c r="D910" t="s">
        <v>2088</v>
      </c>
      <c r="E910" t="s">
        <v>2089</v>
      </c>
      <c r="F910" t="e">
        <f>--ds-btn-loading-light-text</f>
        <v>#NAME?</v>
      </c>
      <c r="G910" t="s">
        <v>117</v>
      </c>
      <c r="H910" t="s">
        <v>117</v>
      </c>
      <c r="I910" t="s">
        <v>32</v>
      </c>
      <c r="J910" t="s">
        <v>24</v>
      </c>
      <c r="K910" t="s">
        <v>1837</v>
      </c>
      <c r="L910" t="s">
        <v>226</v>
      </c>
      <c r="M910" t="s">
        <v>38</v>
      </c>
      <c r="N910" t="s">
        <v>2087</v>
      </c>
      <c r="O910">
        <v>1</v>
      </c>
      <c r="P910">
        <v>1</v>
      </c>
      <c r="Q910">
        <v>0</v>
      </c>
      <c r="R910" s="1">
        <v>46195.682384259257</v>
      </c>
      <c r="S910" s="1">
        <v>46206.360960648148</v>
      </c>
    </row>
    <row r="911" spans="1:19" x14ac:dyDescent="0.25">
      <c r="A911">
        <v>2010110602</v>
      </c>
      <c r="B911" t="s">
        <v>28</v>
      </c>
      <c r="C911" t="s">
        <v>29</v>
      </c>
      <c r="D911" t="s">
        <v>2090</v>
      </c>
      <c r="E911" t="s">
        <v>2091</v>
      </c>
      <c r="F911" t="e">
        <f>--ds-btn-loading-light-border</f>
        <v>#NAME?</v>
      </c>
      <c r="G911" t="s">
        <v>123</v>
      </c>
      <c r="H911" t="s">
        <v>123</v>
      </c>
      <c r="I911" t="s">
        <v>32</v>
      </c>
      <c r="J911" t="s">
        <v>24</v>
      </c>
      <c r="K911" t="s">
        <v>1837</v>
      </c>
      <c r="L911" t="s">
        <v>226</v>
      </c>
      <c r="M911" t="s">
        <v>42</v>
      </c>
      <c r="N911" t="s">
        <v>2087</v>
      </c>
      <c r="O911">
        <v>1</v>
      </c>
      <c r="P911">
        <v>1</v>
      </c>
      <c r="Q911">
        <v>0</v>
      </c>
      <c r="R911" s="1">
        <v>46195.682384259257</v>
      </c>
      <c r="S911" s="1">
        <v>46206.360960648148</v>
      </c>
    </row>
    <row r="912" spans="1:19" x14ac:dyDescent="0.25">
      <c r="A912">
        <v>2010110603</v>
      </c>
      <c r="B912" t="s">
        <v>28</v>
      </c>
      <c r="C912" t="s">
        <v>29</v>
      </c>
      <c r="D912" t="s">
        <v>2092</v>
      </c>
      <c r="E912" t="s">
        <v>2093</v>
      </c>
      <c r="F912" t="e">
        <f>--ds-btn-loading-light-hover-bg</f>
        <v>#NAME?</v>
      </c>
      <c r="G912" t="s">
        <v>1080</v>
      </c>
      <c r="H912" t="s">
        <v>1080</v>
      </c>
      <c r="I912" t="s">
        <v>32</v>
      </c>
      <c r="J912" t="s">
        <v>24</v>
      </c>
      <c r="K912" t="s">
        <v>1837</v>
      </c>
      <c r="L912" t="s">
        <v>226</v>
      </c>
      <c r="M912" t="s">
        <v>46</v>
      </c>
      <c r="N912" t="s">
        <v>2087</v>
      </c>
      <c r="O912">
        <v>1</v>
      </c>
      <c r="P912">
        <v>1</v>
      </c>
      <c r="Q912">
        <v>0</v>
      </c>
      <c r="R912" s="1">
        <v>46195.682384259257</v>
      </c>
      <c r="S912" s="1">
        <v>46206.360960648148</v>
      </c>
    </row>
    <row r="913" spans="1:19" x14ac:dyDescent="0.25">
      <c r="A913">
        <v>2010110604</v>
      </c>
      <c r="B913" t="s">
        <v>28</v>
      </c>
      <c r="C913" t="s">
        <v>29</v>
      </c>
      <c r="D913" t="s">
        <v>2094</v>
      </c>
      <c r="E913" t="s">
        <v>2095</v>
      </c>
      <c r="F913" t="e">
        <f>--ds-btn-loading-light-hover-text</f>
        <v>#NAME?</v>
      </c>
      <c r="G913" t="s">
        <v>117</v>
      </c>
      <c r="H913" t="s">
        <v>117</v>
      </c>
      <c r="I913" t="s">
        <v>32</v>
      </c>
      <c r="J913" t="s">
        <v>24</v>
      </c>
      <c r="K913" t="s">
        <v>1837</v>
      </c>
      <c r="L913" t="s">
        <v>226</v>
      </c>
      <c r="M913" t="s">
        <v>49</v>
      </c>
      <c r="N913" t="s">
        <v>2087</v>
      </c>
      <c r="O913">
        <v>1</v>
      </c>
      <c r="P913">
        <v>1</v>
      </c>
      <c r="Q913">
        <v>0</v>
      </c>
      <c r="R913" s="1">
        <v>46195.682384259257</v>
      </c>
      <c r="S913" s="1">
        <v>46206.360960648148</v>
      </c>
    </row>
    <row r="914" spans="1:19" x14ac:dyDescent="0.25">
      <c r="A914">
        <v>2010110605</v>
      </c>
      <c r="B914" t="s">
        <v>28</v>
      </c>
      <c r="C914" t="s">
        <v>29</v>
      </c>
      <c r="D914" t="s">
        <v>2096</v>
      </c>
      <c r="E914" t="s">
        <v>2097</v>
      </c>
      <c r="F914" t="e">
        <f>--ds-btn-loading-light-hover-border</f>
        <v>#NAME?</v>
      </c>
      <c r="G914" t="s">
        <v>1080</v>
      </c>
      <c r="H914" t="s">
        <v>1080</v>
      </c>
      <c r="I914" t="s">
        <v>32</v>
      </c>
      <c r="J914" t="s">
        <v>24</v>
      </c>
      <c r="K914" t="s">
        <v>1837</v>
      </c>
      <c r="L914" t="s">
        <v>226</v>
      </c>
      <c r="M914" t="s">
        <v>53</v>
      </c>
      <c r="N914" t="s">
        <v>2087</v>
      </c>
      <c r="O914">
        <v>1</v>
      </c>
      <c r="P914">
        <v>1</v>
      </c>
      <c r="Q914">
        <v>0</v>
      </c>
      <c r="R914" s="1">
        <v>46195.682384259257</v>
      </c>
      <c r="S914" s="1">
        <v>46206.360960648148</v>
      </c>
    </row>
    <row r="915" spans="1:19" x14ac:dyDescent="0.25">
      <c r="A915">
        <v>2010110606</v>
      </c>
      <c r="B915" t="s">
        <v>28</v>
      </c>
      <c r="C915" t="s">
        <v>29</v>
      </c>
      <c r="D915" t="s">
        <v>2098</v>
      </c>
      <c r="E915" t="s">
        <v>2099</v>
      </c>
      <c r="F915" t="e">
        <f>--ds-btn-loading-light-disabled-bg</f>
        <v>#NAME?</v>
      </c>
      <c r="G915" t="s">
        <v>1427</v>
      </c>
      <c r="H915" t="s">
        <v>1427</v>
      </c>
      <c r="I915" t="s">
        <v>32</v>
      </c>
      <c r="J915" t="s">
        <v>24</v>
      </c>
      <c r="K915" t="s">
        <v>1837</v>
      </c>
      <c r="L915" t="s">
        <v>226</v>
      </c>
      <c r="M915" t="s">
        <v>57</v>
      </c>
      <c r="N915" t="s">
        <v>2087</v>
      </c>
      <c r="O915">
        <v>1</v>
      </c>
      <c r="P915">
        <v>1</v>
      </c>
      <c r="Q915">
        <v>0</v>
      </c>
      <c r="R915" s="1">
        <v>46195.682384259257</v>
      </c>
      <c r="S915" s="1">
        <v>46206.360960648148</v>
      </c>
    </row>
    <row r="916" spans="1:19" x14ac:dyDescent="0.25">
      <c r="A916">
        <v>2010110607</v>
      </c>
      <c r="B916" t="s">
        <v>28</v>
      </c>
      <c r="C916" t="s">
        <v>29</v>
      </c>
      <c r="D916" t="s">
        <v>2100</v>
      </c>
      <c r="E916" t="s">
        <v>2101</v>
      </c>
      <c r="F916" t="e">
        <f>--ds-btn-loading-light-disabled-text</f>
        <v>#NAME?</v>
      </c>
      <c r="G916" t="s">
        <v>60</v>
      </c>
      <c r="H916" t="s">
        <v>60</v>
      </c>
      <c r="I916" t="s">
        <v>32</v>
      </c>
      <c r="J916" t="s">
        <v>24</v>
      </c>
      <c r="K916" t="s">
        <v>1837</v>
      </c>
      <c r="L916" t="s">
        <v>226</v>
      </c>
      <c r="M916" t="s">
        <v>61</v>
      </c>
      <c r="N916" t="s">
        <v>2087</v>
      </c>
      <c r="O916">
        <v>1</v>
      </c>
      <c r="P916">
        <v>1</v>
      </c>
      <c r="Q916">
        <v>0</v>
      </c>
      <c r="R916" s="1">
        <v>46195.682384259257</v>
      </c>
      <c r="S916" s="1">
        <v>46206.360960648148</v>
      </c>
    </row>
    <row r="917" spans="1:19" x14ac:dyDescent="0.25">
      <c r="A917">
        <v>2010110608</v>
      </c>
      <c r="B917" t="s">
        <v>28</v>
      </c>
      <c r="C917" t="s">
        <v>29</v>
      </c>
      <c r="D917" t="s">
        <v>2102</v>
      </c>
      <c r="E917" t="s">
        <v>2103</v>
      </c>
      <c r="F917" t="e">
        <f>--ds-btn-loading-light-disabled-border</f>
        <v>#NAME?</v>
      </c>
      <c r="G917" t="s">
        <v>120</v>
      </c>
      <c r="H917" t="s">
        <v>120</v>
      </c>
      <c r="I917" t="s">
        <v>32</v>
      </c>
      <c r="J917" t="s">
        <v>24</v>
      </c>
      <c r="K917" t="s">
        <v>1837</v>
      </c>
      <c r="L917" t="s">
        <v>226</v>
      </c>
      <c r="M917" t="s">
        <v>65</v>
      </c>
      <c r="N917" t="s">
        <v>2087</v>
      </c>
      <c r="O917">
        <v>1</v>
      </c>
      <c r="P917">
        <v>1</v>
      </c>
      <c r="Q917">
        <v>0</v>
      </c>
      <c r="R917" s="1">
        <v>46195.682384259257</v>
      </c>
      <c r="S917" s="1">
        <v>46206.360960648148</v>
      </c>
    </row>
    <row r="918" spans="1:19" x14ac:dyDescent="0.25">
      <c r="A918">
        <v>2010110609</v>
      </c>
      <c r="B918" t="s">
        <v>28</v>
      </c>
      <c r="C918" t="s">
        <v>29</v>
      </c>
      <c r="D918" t="s">
        <v>2104</v>
      </c>
      <c r="E918" t="s">
        <v>2105</v>
      </c>
      <c r="F918" t="e">
        <f>--ds-btn-loading-light-spinner-color</f>
        <v>#NAME?</v>
      </c>
      <c r="G918" t="s">
        <v>117</v>
      </c>
      <c r="H918" t="s">
        <v>117</v>
      </c>
      <c r="I918" t="s">
        <v>32</v>
      </c>
      <c r="J918" t="s">
        <v>24</v>
      </c>
      <c r="K918" t="s">
        <v>1837</v>
      </c>
      <c r="L918" t="s">
        <v>226</v>
      </c>
      <c r="M918" t="s">
        <v>1857</v>
      </c>
      <c r="N918" t="s">
        <v>2087</v>
      </c>
      <c r="O918">
        <v>1</v>
      </c>
      <c r="P918">
        <v>1</v>
      </c>
      <c r="Q918">
        <v>0</v>
      </c>
      <c r="R918" s="1">
        <v>46195.682384259257</v>
      </c>
      <c r="S918" s="1">
        <v>46206.360960648148</v>
      </c>
    </row>
    <row r="919" spans="1:19" x14ac:dyDescent="0.25">
      <c r="A919">
        <v>2010110610</v>
      </c>
      <c r="B919" t="s">
        <v>28</v>
      </c>
      <c r="C919" t="s">
        <v>29</v>
      </c>
      <c r="D919" t="s">
        <v>2106</v>
      </c>
      <c r="E919" t="s">
        <v>2107</v>
      </c>
      <c r="F919" t="e">
        <f>--ds-btn-loading-light-spinner-size</f>
        <v>#NAME?</v>
      </c>
      <c r="G919" t="s">
        <v>105</v>
      </c>
      <c r="H919" t="s">
        <v>105</v>
      </c>
      <c r="I919" t="s">
        <v>32</v>
      </c>
      <c r="J919" t="s">
        <v>78</v>
      </c>
      <c r="K919" t="s">
        <v>1837</v>
      </c>
      <c r="L919" t="s">
        <v>226</v>
      </c>
      <c r="M919" t="s">
        <v>1860</v>
      </c>
      <c r="N919" t="s">
        <v>2087</v>
      </c>
      <c r="O919">
        <v>1</v>
      </c>
      <c r="P919">
        <v>0</v>
      </c>
      <c r="Q919">
        <v>0</v>
      </c>
      <c r="R919" s="1">
        <v>46195.682384259257</v>
      </c>
      <c r="S919" s="1">
        <v>46206.360960648148</v>
      </c>
    </row>
    <row r="920" spans="1:19" x14ac:dyDescent="0.25">
      <c r="A920">
        <v>2010110611</v>
      </c>
      <c r="B920" t="s">
        <v>28</v>
      </c>
      <c r="C920" t="s">
        <v>29</v>
      </c>
      <c r="D920" t="s">
        <v>2108</v>
      </c>
      <c r="E920" t="s">
        <v>2109</v>
      </c>
      <c r="F920" t="e">
        <f>--ds-btn-loading-light-padding-x</f>
        <v>#NAME?</v>
      </c>
      <c r="G920" t="s">
        <v>77</v>
      </c>
      <c r="H920" t="s">
        <v>77</v>
      </c>
      <c r="I920" t="s">
        <v>32</v>
      </c>
      <c r="J920" t="s">
        <v>78</v>
      </c>
      <c r="K920" t="s">
        <v>1837</v>
      </c>
      <c r="L920" t="s">
        <v>226</v>
      </c>
      <c r="M920" t="s">
        <v>79</v>
      </c>
      <c r="N920" t="s">
        <v>2087</v>
      </c>
      <c r="O920">
        <v>1</v>
      </c>
      <c r="P920">
        <v>0</v>
      </c>
      <c r="Q920">
        <v>0</v>
      </c>
      <c r="R920" s="1">
        <v>46195.682384259257</v>
      </c>
      <c r="S920" s="1">
        <v>46206.360960648148</v>
      </c>
    </row>
    <row r="921" spans="1:19" x14ac:dyDescent="0.25">
      <c r="A921">
        <v>2010110612</v>
      </c>
      <c r="B921" t="s">
        <v>28</v>
      </c>
      <c r="C921" t="s">
        <v>29</v>
      </c>
      <c r="D921" t="s">
        <v>2110</v>
      </c>
      <c r="E921" t="s">
        <v>2111</v>
      </c>
      <c r="F921" t="e">
        <f>--ds-btn-loading-light-padding-y</f>
        <v>#NAME?</v>
      </c>
      <c r="G921" t="s">
        <v>82</v>
      </c>
      <c r="H921" t="s">
        <v>82</v>
      </c>
      <c r="I921" t="s">
        <v>32</v>
      </c>
      <c r="J921" t="s">
        <v>78</v>
      </c>
      <c r="K921" t="s">
        <v>1837</v>
      </c>
      <c r="L921" t="s">
        <v>226</v>
      </c>
      <c r="M921" t="s">
        <v>83</v>
      </c>
      <c r="N921" t="s">
        <v>2087</v>
      </c>
      <c r="O921">
        <v>1</v>
      </c>
      <c r="P921">
        <v>0</v>
      </c>
      <c r="Q921">
        <v>0</v>
      </c>
      <c r="R921" s="1">
        <v>46195.682384259257</v>
      </c>
      <c r="S921" s="1">
        <v>46206.360960648148</v>
      </c>
    </row>
    <row r="922" spans="1:19" x14ac:dyDescent="0.25">
      <c r="A922">
        <v>2010110613</v>
      </c>
      <c r="B922" t="s">
        <v>28</v>
      </c>
      <c r="C922" t="s">
        <v>29</v>
      </c>
      <c r="D922" t="s">
        <v>2112</v>
      </c>
      <c r="E922" t="s">
        <v>2113</v>
      </c>
      <c r="F922" t="e">
        <f>--ds-btn-loading-light-gap</f>
        <v>#NAME?</v>
      </c>
      <c r="G922" t="s">
        <v>86</v>
      </c>
      <c r="H922" t="s">
        <v>86</v>
      </c>
      <c r="I922" t="s">
        <v>32</v>
      </c>
      <c r="J922" t="s">
        <v>78</v>
      </c>
      <c r="K922" t="s">
        <v>1837</v>
      </c>
      <c r="L922" t="s">
        <v>226</v>
      </c>
      <c r="M922" t="s">
        <v>87</v>
      </c>
      <c r="N922" t="s">
        <v>2087</v>
      </c>
      <c r="O922">
        <v>1</v>
      </c>
      <c r="P922">
        <v>0</v>
      </c>
      <c r="Q922">
        <v>0</v>
      </c>
      <c r="R922" s="1">
        <v>46195.682384259257</v>
      </c>
      <c r="S922" s="1">
        <v>46206.360960648148</v>
      </c>
    </row>
    <row r="923" spans="1:19" x14ac:dyDescent="0.25">
      <c r="A923">
        <v>2010110614</v>
      </c>
      <c r="B923" t="s">
        <v>28</v>
      </c>
      <c r="C923" t="s">
        <v>29</v>
      </c>
      <c r="D923" t="s">
        <v>2114</v>
      </c>
      <c r="E923" t="s">
        <v>2115</v>
      </c>
      <c r="F923" t="e">
        <f>--ds-btn-loading-light-focus-ring</f>
        <v>#NAME?</v>
      </c>
      <c r="G923" t="s">
        <v>1444</v>
      </c>
      <c r="H923" t="s">
        <v>1444</v>
      </c>
      <c r="I923" t="s">
        <v>32</v>
      </c>
      <c r="J923" t="s">
        <v>69</v>
      </c>
      <c r="K923" t="s">
        <v>1837</v>
      </c>
      <c r="L923" t="s">
        <v>226</v>
      </c>
      <c r="M923" t="s">
        <v>91</v>
      </c>
      <c r="N923" t="s">
        <v>2087</v>
      </c>
      <c r="O923">
        <v>1</v>
      </c>
      <c r="P923">
        <v>0</v>
      </c>
      <c r="Q923">
        <v>0</v>
      </c>
      <c r="R923" s="1">
        <v>46195.682384259257</v>
      </c>
      <c r="S923" s="1">
        <v>46206.360960648148</v>
      </c>
    </row>
    <row r="924" spans="1:19" x14ac:dyDescent="0.25">
      <c r="A924">
        <v>2010110615</v>
      </c>
      <c r="B924" t="s">
        <v>28</v>
      </c>
      <c r="C924" t="s">
        <v>29</v>
      </c>
      <c r="D924" t="s">
        <v>2116</v>
      </c>
      <c r="E924" t="s">
        <v>2117</v>
      </c>
      <c r="F924" t="e">
        <f>--ds-btn-loading-light-outline</f>
        <v>#NAME?</v>
      </c>
      <c r="G924" t="s">
        <v>94</v>
      </c>
      <c r="H924" t="s">
        <v>94</v>
      </c>
      <c r="I924" t="s">
        <v>32</v>
      </c>
      <c r="J924" t="s">
        <v>69</v>
      </c>
      <c r="K924" t="s">
        <v>1837</v>
      </c>
      <c r="L924" t="s">
        <v>226</v>
      </c>
      <c r="M924" t="s">
        <v>95</v>
      </c>
      <c r="N924" t="s">
        <v>2087</v>
      </c>
      <c r="O924">
        <v>1</v>
      </c>
      <c r="P924">
        <v>0</v>
      </c>
      <c r="Q924">
        <v>0</v>
      </c>
      <c r="R924" s="1">
        <v>46195.682384259257</v>
      </c>
      <c r="S924" s="1">
        <v>46206.360960648148</v>
      </c>
    </row>
    <row r="925" spans="1:19" x14ac:dyDescent="0.25">
      <c r="A925">
        <v>2010110616</v>
      </c>
      <c r="B925" t="s">
        <v>28</v>
      </c>
      <c r="C925" t="s">
        <v>29</v>
      </c>
      <c r="D925" t="s">
        <v>2118</v>
      </c>
      <c r="E925" t="s">
        <v>2119</v>
      </c>
      <c r="F925" t="e">
        <f>--ds-btn-loading-light-transition</f>
        <v>#NAME?</v>
      </c>
      <c r="G925" t="s">
        <v>98</v>
      </c>
      <c r="H925" t="s">
        <v>98</v>
      </c>
      <c r="I925" t="s">
        <v>32</v>
      </c>
      <c r="J925" t="s">
        <v>69</v>
      </c>
      <c r="K925" t="s">
        <v>1837</v>
      </c>
      <c r="L925" t="s">
        <v>226</v>
      </c>
      <c r="M925" t="s">
        <v>99</v>
      </c>
      <c r="N925" t="s">
        <v>2087</v>
      </c>
      <c r="O925">
        <v>1</v>
      </c>
      <c r="P925">
        <v>0</v>
      </c>
      <c r="Q925">
        <v>0</v>
      </c>
      <c r="R925" s="1">
        <v>46195.682384259257</v>
      </c>
      <c r="S925" s="1">
        <v>46206.360960648148</v>
      </c>
    </row>
    <row r="926" spans="1:19" x14ac:dyDescent="0.25">
      <c r="A926">
        <v>2010110617</v>
      </c>
      <c r="B926" t="s">
        <v>28</v>
      </c>
      <c r="C926" t="s">
        <v>29</v>
      </c>
      <c r="D926" t="s">
        <v>2120</v>
      </c>
      <c r="E926" t="s">
        <v>2121</v>
      </c>
      <c r="F926" t="e">
        <f>--ds-btn-loading-light-icon-color</f>
        <v>#NAME?</v>
      </c>
      <c r="G926" t="s">
        <v>117</v>
      </c>
      <c r="H926" t="s">
        <v>117</v>
      </c>
      <c r="I926" t="s">
        <v>32</v>
      </c>
      <c r="J926" t="s">
        <v>24</v>
      </c>
      <c r="K926" t="s">
        <v>1837</v>
      </c>
      <c r="L926" t="s">
        <v>226</v>
      </c>
      <c r="M926" t="s">
        <v>102</v>
      </c>
      <c r="N926" t="s">
        <v>2087</v>
      </c>
      <c r="O926">
        <v>1</v>
      </c>
      <c r="P926">
        <v>0</v>
      </c>
      <c r="Q926">
        <v>0</v>
      </c>
      <c r="R926" s="1">
        <v>46195.682384259257</v>
      </c>
      <c r="S926" s="1">
        <v>46206.360960648148</v>
      </c>
    </row>
    <row r="927" spans="1:19" x14ac:dyDescent="0.25">
      <c r="A927">
        <v>2010110618</v>
      </c>
      <c r="B927" t="s">
        <v>28</v>
      </c>
      <c r="C927" t="s">
        <v>29</v>
      </c>
      <c r="D927" t="s">
        <v>2122</v>
      </c>
      <c r="E927" t="s">
        <v>2123</v>
      </c>
      <c r="F927" t="e">
        <f>--ds-btn-loading-light-icon-size</f>
        <v>#NAME?</v>
      </c>
      <c r="G927" t="s">
        <v>105</v>
      </c>
      <c r="H927" t="s">
        <v>105</v>
      </c>
      <c r="I927" t="s">
        <v>32</v>
      </c>
      <c r="J927" t="s">
        <v>78</v>
      </c>
      <c r="K927" t="s">
        <v>1837</v>
      </c>
      <c r="L927" t="s">
        <v>226</v>
      </c>
      <c r="M927" t="s">
        <v>106</v>
      </c>
      <c r="N927" t="s">
        <v>2087</v>
      </c>
      <c r="O927">
        <v>1</v>
      </c>
      <c r="P927">
        <v>0</v>
      </c>
      <c r="Q927">
        <v>0</v>
      </c>
      <c r="R927" s="1">
        <v>46195.682384259257</v>
      </c>
      <c r="S927" s="1">
        <v>46206.360960648148</v>
      </c>
    </row>
    <row r="928" spans="1:19" x14ac:dyDescent="0.25">
      <c r="A928">
        <v>2010110619</v>
      </c>
      <c r="B928" t="s">
        <v>28</v>
      </c>
      <c r="C928" t="s">
        <v>29</v>
      </c>
      <c r="D928" t="s">
        <v>2124</v>
      </c>
      <c r="E928" t="s">
        <v>2125</v>
      </c>
      <c r="F928" t="e">
        <f>--ds-btn-loading-light-line-height</f>
        <v>#NAME?</v>
      </c>
      <c r="G928">
        <v>1.2</v>
      </c>
      <c r="H928">
        <v>1.2</v>
      </c>
      <c r="I928" t="s">
        <v>32</v>
      </c>
      <c r="J928" t="s">
        <v>78</v>
      </c>
      <c r="K928" t="s">
        <v>1837</v>
      </c>
      <c r="L928" t="s">
        <v>226</v>
      </c>
      <c r="M928" t="s">
        <v>109</v>
      </c>
      <c r="N928" t="s">
        <v>2087</v>
      </c>
      <c r="O928">
        <v>1</v>
      </c>
      <c r="P928">
        <v>0</v>
      </c>
      <c r="Q928">
        <v>0</v>
      </c>
      <c r="R928" s="1">
        <v>46195.682384259257</v>
      </c>
      <c r="S928" s="1">
        <v>46206.360960648148</v>
      </c>
    </row>
    <row r="929" spans="1:19" x14ac:dyDescent="0.25">
      <c r="A929">
        <v>2010110700</v>
      </c>
      <c r="B929" t="s">
        <v>28</v>
      </c>
      <c r="C929" t="s">
        <v>29</v>
      </c>
      <c r="D929" t="s">
        <v>2126</v>
      </c>
      <c r="E929" t="s">
        <v>2127</v>
      </c>
      <c r="F929" t="e">
        <f>--ds-btn-loading-dark-bg</f>
        <v>#NAME?</v>
      </c>
      <c r="G929" t="s">
        <v>117</v>
      </c>
      <c r="H929" t="s">
        <v>117</v>
      </c>
      <c r="I929" t="s">
        <v>32</v>
      </c>
      <c r="J929" t="s">
        <v>24</v>
      </c>
      <c r="K929" t="s">
        <v>1837</v>
      </c>
      <c r="L929" t="s">
        <v>248</v>
      </c>
      <c r="M929" t="s">
        <v>26</v>
      </c>
      <c r="N929" t="s">
        <v>2128</v>
      </c>
      <c r="O929">
        <v>1</v>
      </c>
      <c r="P929">
        <v>1</v>
      </c>
      <c r="Q929">
        <v>0</v>
      </c>
      <c r="R929" s="1">
        <v>46195.682881944442</v>
      </c>
      <c r="S929" s="1">
        <v>46206.360960648148</v>
      </c>
    </row>
    <row r="930" spans="1:19" x14ac:dyDescent="0.25">
      <c r="A930">
        <v>2010110701</v>
      </c>
      <c r="B930" t="s">
        <v>28</v>
      </c>
      <c r="C930" t="s">
        <v>29</v>
      </c>
      <c r="D930" t="s">
        <v>2129</v>
      </c>
      <c r="E930" t="s">
        <v>2130</v>
      </c>
      <c r="F930" t="e">
        <f>--ds-btn-loading-dark-text</f>
        <v>#NAME?</v>
      </c>
      <c r="G930" t="s">
        <v>37</v>
      </c>
      <c r="H930" t="s">
        <v>37</v>
      </c>
      <c r="I930" t="s">
        <v>32</v>
      </c>
      <c r="J930" t="s">
        <v>24</v>
      </c>
      <c r="K930" t="s">
        <v>1837</v>
      </c>
      <c r="L930" t="s">
        <v>248</v>
      </c>
      <c r="M930" t="s">
        <v>38</v>
      </c>
      <c r="N930" t="s">
        <v>2128</v>
      </c>
      <c r="O930">
        <v>1</v>
      </c>
      <c r="P930">
        <v>1</v>
      </c>
      <c r="Q930">
        <v>0</v>
      </c>
      <c r="R930" s="1">
        <v>46195.682881944442</v>
      </c>
      <c r="S930" s="1">
        <v>46206.360960648148</v>
      </c>
    </row>
    <row r="931" spans="1:19" x14ac:dyDescent="0.25">
      <c r="A931">
        <v>2010110702</v>
      </c>
      <c r="B931" t="s">
        <v>28</v>
      </c>
      <c r="C931" t="s">
        <v>29</v>
      </c>
      <c r="D931" t="s">
        <v>2131</v>
      </c>
      <c r="E931" t="s">
        <v>2132</v>
      </c>
      <c r="F931" t="e">
        <f>--ds-btn-loading-dark-border</f>
        <v>#NAME?</v>
      </c>
      <c r="G931" t="s">
        <v>117</v>
      </c>
      <c r="H931" t="s">
        <v>117</v>
      </c>
      <c r="I931" t="s">
        <v>32</v>
      </c>
      <c r="J931" t="s">
        <v>24</v>
      </c>
      <c r="K931" t="s">
        <v>1837</v>
      </c>
      <c r="L931" t="s">
        <v>248</v>
      </c>
      <c r="M931" t="s">
        <v>42</v>
      </c>
      <c r="N931" t="s">
        <v>2128</v>
      </c>
      <c r="O931">
        <v>1</v>
      </c>
      <c r="P931">
        <v>1</v>
      </c>
      <c r="Q931">
        <v>0</v>
      </c>
      <c r="R931" s="1">
        <v>46195.682881944442</v>
      </c>
      <c r="S931" s="1">
        <v>46206.360960648148</v>
      </c>
    </row>
    <row r="932" spans="1:19" x14ac:dyDescent="0.25">
      <c r="A932">
        <v>2010110703</v>
      </c>
      <c r="B932" t="s">
        <v>28</v>
      </c>
      <c r="C932" t="s">
        <v>29</v>
      </c>
      <c r="D932" t="s">
        <v>2133</v>
      </c>
      <c r="E932" t="s">
        <v>2134</v>
      </c>
      <c r="F932" t="e">
        <f>--ds-btn-loading-dark-hover-bg</f>
        <v>#NAME?</v>
      </c>
      <c r="G932" t="s">
        <v>256</v>
      </c>
      <c r="H932" t="s">
        <v>256</v>
      </c>
      <c r="I932" t="s">
        <v>32</v>
      </c>
      <c r="J932" t="s">
        <v>24</v>
      </c>
      <c r="K932" t="s">
        <v>1837</v>
      </c>
      <c r="L932" t="s">
        <v>248</v>
      </c>
      <c r="M932" t="s">
        <v>46</v>
      </c>
      <c r="N932" t="s">
        <v>2128</v>
      </c>
      <c r="O932">
        <v>1</v>
      </c>
      <c r="P932">
        <v>1</v>
      </c>
      <c r="Q932">
        <v>0</v>
      </c>
      <c r="R932" s="1">
        <v>46195.682881944442</v>
      </c>
      <c r="S932" s="1">
        <v>46206.360960648148</v>
      </c>
    </row>
    <row r="933" spans="1:19" x14ac:dyDescent="0.25">
      <c r="A933">
        <v>2010110704</v>
      </c>
      <c r="B933" t="s">
        <v>28</v>
      </c>
      <c r="C933" t="s">
        <v>29</v>
      </c>
      <c r="D933" t="s">
        <v>2135</v>
      </c>
      <c r="E933" t="s">
        <v>2136</v>
      </c>
      <c r="F933" t="e">
        <f>--ds-btn-loading-dark-hover-text</f>
        <v>#NAME?</v>
      </c>
      <c r="G933" t="s">
        <v>37</v>
      </c>
      <c r="H933" t="s">
        <v>37</v>
      </c>
      <c r="I933" t="s">
        <v>32</v>
      </c>
      <c r="J933" t="s">
        <v>24</v>
      </c>
      <c r="K933" t="s">
        <v>1837</v>
      </c>
      <c r="L933" t="s">
        <v>248</v>
      </c>
      <c r="M933" t="s">
        <v>49</v>
      </c>
      <c r="N933" t="s">
        <v>2128</v>
      </c>
      <c r="O933">
        <v>1</v>
      </c>
      <c r="P933">
        <v>1</v>
      </c>
      <c r="Q933">
        <v>0</v>
      </c>
      <c r="R933" s="1">
        <v>46195.682881944442</v>
      </c>
      <c r="S933" s="1">
        <v>46206.360960648148</v>
      </c>
    </row>
    <row r="934" spans="1:19" x14ac:dyDescent="0.25">
      <c r="A934">
        <v>2010110705</v>
      </c>
      <c r="B934" t="s">
        <v>28</v>
      </c>
      <c r="C934" t="s">
        <v>29</v>
      </c>
      <c r="D934" t="s">
        <v>2137</v>
      </c>
      <c r="E934" t="s">
        <v>2138</v>
      </c>
      <c r="F934" t="e">
        <f>--ds-btn-loading-dark-hover-border</f>
        <v>#NAME?</v>
      </c>
      <c r="G934" t="s">
        <v>261</v>
      </c>
      <c r="H934" t="s">
        <v>261</v>
      </c>
      <c r="I934" t="s">
        <v>32</v>
      </c>
      <c r="J934" t="s">
        <v>24</v>
      </c>
      <c r="K934" t="s">
        <v>1837</v>
      </c>
      <c r="L934" t="s">
        <v>248</v>
      </c>
      <c r="M934" t="s">
        <v>53</v>
      </c>
      <c r="N934" t="s">
        <v>2128</v>
      </c>
      <c r="O934">
        <v>1</v>
      </c>
      <c r="P934">
        <v>1</v>
      </c>
      <c r="Q934">
        <v>0</v>
      </c>
      <c r="R934" s="1">
        <v>46195.682881944442</v>
      </c>
      <c r="S934" s="1">
        <v>46206.360960648148</v>
      </c>
    </row>
    <row r="935" spans="1:19" x14ac:dyDescent="0.25">
      <c r="A935">
        <v>2010110706</v>
      </c>
      <c r="B935" t="s">
        <v>28</v>
      </c>
      <c r="C935" t="s">
        <v>29</v>
      </c>
      <c r="D935" t="s">
        <v>2139</v>
      </c>
      <c r="E935" t="s">
        <v>2140</v>
      </c>
      <c r="F935" t="e">
        <f>--ds-btn-loading-dark-disabled-bg</f>
        <v>#NAME?</v>
      </c>
      <c r="G935" t="s">
        <v>1470</v>
      </c>
      <c r="H935" t="s">
        <v>1470</v>
      </c>
      <c r="I935" t="s">
        <v>32</v>
      </c>
      <c r="J935" t="s">
        <v>24</v>
      </c>
      <c r="K935" t="s">
        <v>1837</v>
      </c>
      <c r="L935" t="s">
        <v>248</v>
      </c>
      <c r="M935" t="s">
        <v>57</v>
      </c>
      <c r="N935" t="s">
        <v>2128</v>
      </c>
      <c r="O935">
        <v>1</v>
      </c>
      <c r="P935">
        <v>1</v>
      </c>
      <c r="Q935">
        <v>0</v>
      </c>
      <c r="R935" s="1">
        <v>46195.682881944442</v>
      </c>
      <c r="S935" s="1">
        <v>46206.360960648148</v>
      </c>
    </row>
    <row r="936" spans="1:19" x14ac:dyDescent="0.25">
      <c r="A936">
        <v>2010110707</v>
      </c>
      <c r="B936" t="s">
        <v>28</v>
      </c>
      <c r="C936" t="s">
        <v>29</v>
      </c>
      <c r="D936" t="s">
        <v>2141</v>
      </c>
      <c r="E936" t="s">
        <v>2142</v>
      </c>
      <c r="F936" t="e">
        <f>--ds-btn-loading-dark-disabled-text</f>
        <v>#NAME?</v>
      </c>
      <c r="G936" t="s">
        <v>60</v>
      </c>
      <c r="H936" t="s">
        <v>60</v>
      </c>
      <c r="I936" t="s">
        <v>32</v>
      </c>
      <c r="J936" t="s">
        <v>24</v>
      </c>
      <c r="K936" t="s">
        <v>1837</v>
      </c>
      <c r="L936" t="s">
        <v>248</v>
      </c>
      <c r="M936" t="s">
        <v>61</v>
      </c>
      <c r="N936" t="s">
        <v>2128</v>
      </c>
      <c r="O936">
        <v>1</v>
      </c>
      <c r="P936">
        <v>1</v>
      </c>
      <c r="Q936">
        <v>0</v>
      </c>
      <c r="R936" s="1">
        <v>46195.682881944442</v>
      </c>
      <c r="S936" s="1">
        <v>46206.360960648148</v>
      </c>
    </row>
    <row r="937" spans="1:19" x14ac:dyDescent="0.25">
      <c r="A937">
        <v>2010110708</v>
      </c>
      <c r="B937" t="s">
        <v>28</v>
      </c>
      <c r="C937" t="s">
        <v>29</v>
      </c>
      <c r="D937" t="s">
        <v>2143</v>
      </c>
      <c r="E937" t="s">
        <v>2144</v>
      </c>
      <c r="F937" t="e">
        <f>--ds-btn-loading-dark-disabled-border</f>
        <v>#NAME?</v>
      </c>
      <c r="G937" t="s">
        <v>1475</v>
      </c>
      <c r="H937" t="s">
        <v>1475</v>
      </c>
      <c r="I937" t="s">
        <v>32</v>
      </c>
      <c r="J937" t="s">
        <v>24</v>
      </c>
      <c r="K937" t="s">
        <v>1837</v>
      </c>
      <c r="L937" t="s">
        <v>248</v>
      </c>
      <c r="M937" t="s">
        <v>65</v>
      </c>
      <c r="N937" t="s">
        <v>2128</v>
      </c>
      <c r="O937">
        <v>1</v>
      </c>
      <c r="P937">
        <v>1</v>
      </c>
      <c r="Q937">
        <v>0</v>
      </c>
      <c r="R937" s="1">
        <v>46195.682881944442</v>
      </c>
      <c r="S937" s="1">
        <v>46206.360960648148</v>
      </c>
    </row>
    <row r="938" spans="1:19" x14ac:dyDescent="0.25">
      <c r="A938">
        <v>2010110709</v>
      </c>
      <c r="B938" t="s">
        <v>28</v>
      </c>
      <c r="C938" t="s">
        <v>29</v>
      </c>
      <c r="D938" t="s">
        <v>2145</v>
      </c>
      <c r="E938" t="s">
        <v>2146</v>
      </c>
      <c r="F938" t="e">
        <f>--ds-btn-loading-dark-spinner-color</f>
        <v>#NAME?</v>
      </c>
      <c r="G938" t="s">
        <v>37</v>
      </c>
      <c r="H938" t="s">
        <v>37</v>
      </c>
      <c r="I938" t="s">
        <v>32</v>
      </c>
      <c r="J938" t="s">
        <v>24</v>
      </c>
      <c r="K938" t="s">
        <v>1837</v>
      </c>
      <c r="L938" t="s">
        <v>248</v>
      </c>
      <c r="M938" t="s">
        <v>1857</v>
      </c>
      <c r="N938" t="s">
        <v>2128</v>
      </c>
      <c r="O938">
        <v>1</v>
      </c>
      <c r="P938">
        <v>1</v>
      </c>
      <c r="Q938">
        <v>0</v>
      </c>
      <c r="R938" s="1">
        <v>46195.682881944442</v>
      </c>
      <c r="S938" s="1">
        <v>46206.360960648148</v>
      </c>
    </row>
    <row r="939" spans="1:19" x14ac:dyDescent="0.25">
      <c r="A939">
        <v>2010110710</v>
      </c>
      <c r="B939" t="s">
        <v>28</v>
      </c>
      <c r="C939" t="s">
        <v>29</v>
      </c>
      <c r="D939" t="s">
        <v>2147</v>
      </c>
      <c r="E939" t="s">
        <v>2148</v>
      </c>
      <c r="F939" t="e">
        <f>--ds-btn-loading-dark-spinner-size</f>
        <v>#NAME?</v>
      </c>
      <c r="G939" t="s">
        <v>105</v>
      </c>
      <c r="H939" t="s">
        <v>105</v>
      </c>
      <c r="I939" t="s">
        <v>32</v>
      </c>
      <c r="J939" t="s">
        <v>78</v>
      </c>
      <c r="K939" t="s">
        <v>1837</v>
      </c>
      <c r="L939" t="s">
        <v>248</v>
      </c>
      <c r="M939" t="s">
        <v>1860</v>
      </c>
      <c r="N939" t="s">
        <v>2128</v>
      </c>
      <c r="O939">
        <v>1</v>
      </c>
      <c r="P939">
        <v>0</v>
      </c>
      <c r="Q939">
        <v>0</v>
      </c>
      <c r="R939" s="1">
        <v>46195.682881944442</v>
      </c>
      <c r="S939" s="1">
        <v>46206.360960648148</v>
      </c>
    </row>
    <row r="940" spans="1:19" x14ac:dyDescent="0.25">
      <c r="A940">
        <v>2010110711</v>
      </c>
      <c r="B940" t="s">
        <v>28</v>
      </c>
      <c r="C940" t="s">
        <v>29</v>
      </c>
      <c r="D940" t="s">
        <v>2149</v>
      </c>
      <c r="E940" t="s">
        <v>2150</v>
      </c>
      <c r="F940" t="e">
        <f>--ds-btn-loading-dark-padding-x</f>
        <v>#NAME?</v>
      </c>
      <c r="G940" t="s">
        <v>77</v>
      </c>
      <c r="H940" t="s">
        <v>77</v>
      </c>
      <c r="I940" t="s">
        <v>32</v>
      </c>
      <c r="J940" t="s">
        <v>78</v>
      </c>
      <c r="K940" t="s">
        <v>1837</v>
      </c>
      <c r="L940" t="s">
        <v>248</v>
      </c>
      <c r="M940" t="s">
        <v>79</v>
      </c>
      <c r="N940" t="s">
        <v>2128</v>
      </c>
      <c r="O940">
        <v>1</v>
      </c>
      <c r="P940">
        <v>0</v>
      </c>
      <c r="Q940">
        <v>0</v>
      </c>
      <c r="R940" s="1">
        <v>46195.682881944442</v>
      </c>
      <c r="S940" s="1">
        <v>46206.360960648148</v>
      </c>
    </row>
    <row r="941" spans="1:19" x14ac:dyDescent="0.25">
      <c r="A941">
        <v>2010110712</v>
      </c>
      <c r="B941" t="s">
        <v>28</v>
      </c>
      <c r="C941" t="s">
        <v>29</v>
      </c>
      <c r="D941" t="s">
        <v>2151</v>
      </c>
      <c r="E941" t="s">
        <v>2152</v>
      </c>
      <c r="F941" t="e">
        <f>--ds-btn-loading-dark-padding-y</f>
        <v>#NAME?</v>
      </c>
      <c r="G941" t="s">
        <v>82</v>
      </c>
      <c r="H941" t="s">
        <v>82</v>
      </c>
      <c r="I941" t="s">
        <v>32</v>
      </c>
      <c r="J941" t="s">
        <v>78</v>
      </c>
      <c r="K941" t="s">
        <v>1837</v>
      </c>
      <c r="L941" t="s">
        <v>248</v>
      </c>
      <c r="M941" t="s">
        <v>83</v>
      </c>
      <c r="N941" t="s">
        <v>2128</v>
      </c>
      <c r="O941">
        <v>1</v>
      </c>
      <c r="P941">
        <v>0</v>
      </c>
      <c r="Q941">
        <v>0</v>
      </c>
      <c r="R941" s="1">
        <v>46195.682881944442</v>
      </c>
      <c r="S941" s="1">
        <v>46206.360960648148</v>
      </c>
    </row>
    <row r="942" spans="1:19" x14ac:dyDescent="0.25">
      <c r="A942">
        <v>2010110713</v>
      </c>
      <c r="B942" t="s">
        <v>28</v>
      </c>
      <c r="C942" t="s">
        <v>29</v>
      </c>
      <c r="D942" t="s">
        <v>2153</v>
      </c>
      <c r="E942" t="s">
        <v>2154</v>
      </c>
      <c r="F942" t="e">
        <f>--ds-btn-loading-dark-gap</f>
        <v>#NAME?</v>
      </c>
      <c r="G942" t="s">
        <v>86</v>
      </c>
      <c r="H942" t="s">
        <v>86</v>
      </c>
      <c r="I942" t="s">
        <v>32</v>
      </c>
      <c r="J942" t="s">
        <v>78</v>
      </c>
      <c r="K942" t="s">
        <v>1837</v>
      </c>
      <c r="L942" t="s">
        <v>248</v>
      </c>
      <c r="M942" t="s">
        <v>87</v>
      </c>
      <c r="N942" t="s">
        <v>2128</v>
      </c>
      <c r="O942">
        <v>1</v>
      </c>
      <c r="P942">
        <v>0</v>
      </c>
      <c r="Q942">
        <v>0</v>
      </c>
      <c r="R942" s="1">
        <v>46195.682881944442</v>
      </c>
      <c r="S942" s="1">
        <v>46206.360960648148</v>
      </c>
    </row>
    <row r="943" spans="1:19" x14ac:dyDescent="0.25">
      <c r="A943">
        <v>2010110714</v>
      </c>
      <c r="B943" t="s">
        <v>28</v>
      </c>
      <c r="C943" t="s">
        <v>29</v>
      </c>
      <c r="D943" t="s">
        <v>2155</v>
      </c>
      <c r="E943" t="s">
        <v>2156</v>
      </c>
      <c r="F943" t="e">
        <f>--ds-btn-loading-dark-focus-ring</f>
        <v>#NAME?</v>
      </c>
      <c r="G943" t="s">
        <v>1488</v>
      </c>
      <c r="H943" t="s">
        <v>1488</v>
      </c>
      <c r="I943" t="s">
        <v>32</v>
      </c>
      <c r="J943" t="s">
        <v>69</v>
      </c>
      <c r="K943" t="s">
        <v>1837</v>
      </c>
      <c r="L943" t="s">
        <v>248</v>
      </c>
      <c r="M943" t="s">
        <v>91</v>
      </c>
      <c r="N943" t="s">
        <v>2128</v>
      </c>
      <c r="O943">
        <v>1</v>
      </c>
      <c r="P943">
        <v>0</v>
      </c>
      <c r="Q943">
        <v>0</v>
      </c>
      <c r="R943" s="1">
        <v>46195.682881944442</v>
      </c>
      <c r="S943" s="1">
        <v>46206.360960648148</v>
      </c>
    </row>
    <row r="944" spans="1:19" x14ac:dyDescent="0.25">
      <c r="A944">
        <v>2010110715</v>
      </c>
      <c r="B944" t="s">
        <v>28</v>
      </c>
      <c r="C944" t="s">
        <v>29</v>
      </c>
      <c r="D944" t="s">
        <v>2157</v>
      </c>
      <c r="E944" t="s">
        <v>2158</v>
      </c>
      <c r="F944" t="e">
        <f>--ds-btn-loading-dark-outline</f>
        <v>#NAME?</v>
      </c>
      <c r="G944" t="s">
        <v>94</v>
      </c>
      <c r="H944" t="s">
        <v>94</v>
      </c>
      <c r="I944" t="s">
        <v>32</v>
      </c>
      <c r="J944" t="s">
        <v>69</v>
      </c>
      <c r="K944" t="s">
        <v>1837</v>
      </c>
      <c r="L944" t="s">
        <v>248</v>
      </c>
      <c r="M944" t="s">
        <v>95</v>
      </c>
      <c r="N944" t="s">
        <v>2128</v>
      </c>
      <c r="O944">
        <v>1</v>
      </c>
      <c r="P944">
        <v>0</v>
      </c>
      <c r="Q944">
        <v>0</v>
      </c>
      <c r="R944" s="1">
        <v>46195.682881944442</v>
      </c>
      <c r="S944" s="1">
        <v>46206.360960648148</v>
      </c>
    </row>
    <row r="945" spans="1:19" x14ac:dyDescent="0.25">
      <c r="A945">
        <v>2010110716</v>
      </c>
      <c r="B945" t="s">
        <v>28</v>
      </c>
      <c r="C945" t="s">
        <v>29</v>
      </c>
      <c r="D945" t="s">
        <v>2159</v>
      </c>
      <c r="E945" t="s">
        <v>2160</v>
      </c>
      <c r="F945" t="e">
        <f>--ds-btn-loading-dark-transition</f>
        <v>#NAME?</v>
      </c>
      <c r="G945" t="s">
        <v>98</v>
      </c>
      <c r="H945" t="s">
        <v>98</v>
      </c>
      <c r="I945" t="s">
        <v>32</v>
      </c>
      <c r="J945" t="s">
        <v>69</v>
      </c>
      <c r="K945" t="s">
        <v>1837</v>
      </c>
      <c r="L945" t="s">
        <v>248</v>
      </c>
      <c r="M945" t="s">
        <v>99</v>
      </c>
      <c r="N945" t="s">
        <v>2128</v>
      </c>
      <c r="O945">
        <v>1</v>
      </c>
      <c r="P945">
        <v>0</v>
      </c>
      <c r="Q945">
        <v>0</v>
      </c>
      <c r="R945" s="1">
        <v>46195.682881944442</v>
      </c>
      <c r="S945" s="1">
        <v>46206.360960648148</v>
      </c>
    </row>
    <row r="946" spans="1:19" x14ac:dyDescent="0.25">
      <c r="A946">
        <v>2010110717</v>
      </c>
      <c r="B946" t="s">
        <v>28</v>
      </c>
      <c r="C946" t="s">
        <v>29</v>
      </c>
      <c r="D946" t="s">
        <v>2161</v>
      </c>
      <c r="E946" t="s">
        <v>2162</v>
      </c>
      <c r="F946" t="e">
        <f>--ds-btn-loading-dark-icon-color</f>
        <v>#NAME?</v>
      </c>
      <c r="G946" t="s">
        <v>37</v>
      </c>
      <c r="H946" t="s">
        <v>37</v>
      </c>
      <c r="I946" t="s">
        <v>32</v>
      </c>
      <c r="J946" t="s">
        <v>24</v>
      </c>
      <c r="K946" t="s">
        <v>1837</v>
      </c>
      <c r="L946" t="s">
        <v>248</v>
      </c>
      <c r="M946" t="s">
        <v>102</v>
      </c>
      <c r="N946" t="s">
        <v>2128</v>
      </c>
      <c r="O946">
        <v>1</v>
      </c>
      <c r="P946">
        <v>0</v>
      </c>
      <c r="Q946">
        <v>0</v>
      </c>
      <c r="R946" s="1">
        <v>46195.682881944442</v>
      </c>
      <c r="S946" s="1">
        <v>46206.360960648148</v>
      </c>
    </row>
    <row r="947" spans="1:19" x14ac:dyDescent="0.25">
      <c r="A947">
        <v>2010110718</v>
      </c>
      <c r="B947" t="s">
        <v>28</v>
      </c>
      <c r="C947" t="s">
        <v>29</v>
      </c>
      <c r="D947" t="s">
        <v>2163</v>
      </c>
      <c r="E947" t="s">
        <v>2164</v>
      </c>
      <c r="F947" t="e">
        <f>--ds-btn-loading-dark-icon-size</f>
        <v>#NAME?</v>
      </c>
      <c r="G947" t="s">
        <v>105</v>
      </c>
      <c r="H947" t="s">
        <v>105</v>
      </c>
      <c r="I947" t="s">
        <v>32</v>
      </c>
      <c r="J947" t="s">
        <v>78</v>
      </c>
      <c r="K947" t="s">
        <v>1837</v>
      </c>
      <c r="L947" t="s">
        <v>248</v>
      </c>
      <c r="M947" t="s">
        <v>106</v>
      </c>
      <c r="N947" t="s">
        <v>2128</v>
      </c>
      <c r="O947">
        <v>1</v>
      </c>
      <c r="P947">
        <v>0</v>
      </c>
      <c r="Q947">
        <v>0</v>
      </c>
      <c r="R947" s="1">
        <v>46195.682881944442</v>
      </c>
      <c r="S947" s="1">
        <v>46206.360960648148</v>
      </c>
    </row>
    <row r="948" spans="1:19" x14ac:dyDescent="0.25">
      <c r="A948">
        <v>2010110719</v>
      </c>
      <c r="B948" t="s">
        <v>28</v>
      </c>
      <c r="C948" t="s">
        <v>29</v>
      </c>
      <c r="D948" t="s">
        <v>2165</v>
      </c>
      <c r="E948" t="s">
        <v>2166</v>
      </c>
      <c r="F948" t="e">
        <f>--ds-btn-loading-dark-line-height</f>
        <v>#NAME?</v>
      </c>
      <c r="G948">
        <v>1.2</v>
      </c>
      <c r="H948">
        <v>1.2</v>
      </c>
      <c r="I948" t="s">
        <v>32</v>
      </c>
      <c r="J948" t="s">
        <v>78</v>
      </c>
      <c r="K948" t="s">
        <v>1837</v>
      </c>
      <c r="L948" t="s">
        <v>248</v>
      </c>
      <c r="M948" t="s">
        <v>109</v>
      </c>
      <c r="N948" t="s">
        <v>2128</v>
      </c>
      <c r="O948">
        <v>1</v>
      </c>
      <c r="P948">
        <v>0</v>
      </c>
      <c r="Q948">
        <v>0</v>
      </c>
      <c r="R948" s="1">
        <v>46195.682881944442</v>
      </c>
      <c r="S948" s="1">
        <v>46206.360960648148</v>
      </c>
    </row>
    <row r="949" spans="1:19" x14ac:dyDescent="0.25">
      <c r="A949">
        <v>2010110800</v>
      </c>
      <c r="B949" t="s">
        <v>28</v>
      </c>
      <c r="C949" t="s">
        <v>29</v>
      </c>
      <c r="D949" t="s">
        <v>2167</v>
      </c>
      <c r="E949" t="s">
        <v>2168</v>
      </c>
      <c r="F949" t="e">
        <f>--ds-btn-loading-primary-outline-bg</f>
        <v>#NAME?</v>
      </c>
      <c r="G949" t="s">
        <v>112</v>
      </c>
      <c r="H949" t="s">
        <v>112</v>
      </c>
      <c r="I949" t="s">
        <v>32</v>
      </c>
      <c r="J949" t="s">
        <v>24</v>
      </c>
      <c r="K949" t="s">
        <v>1837</v>
      </c>
      <c r="L949" t="s">
        <v>2169</v>
      </c>
      <c r="M949" t="s">
        <v>26</v>
      </c>
      <c r="N949" t="s">
        <v>2170</v>
      </c>
      <c r="O949">
        <v>1</v>
      </c>
      <c r="P949">
        <v>1</v>
      </c>
      <c r="Q949">
        <v>0</v>
      </c>
      <c r="R949" s="1">
        <v>46195.683368055557</v>
      </c>
      <c r="S949" s="1">
        <v>46206.360960648148</v>
      </c>
    </row>
    <row r="950" spans="1:19" x14ac:dyDescent="0.25">
      <c r="A950">
        <v>2010110801</v>
      </c>
      <c r="B950" t="s">
        <v>28</v>
      </c>
      <c r="C950" t="s">
        <v>29</v>
      </c>
      <c r="D950" t="s">
        <v>2171</v>
      </c>
      <c r="E950" t="s">
        <v>2172</v>
      </c>
      <c r="F950" t="e">
        <f>--ds-btn-loading-primary-outline-text</f>
        <v>#NAME?</v>
      </c>
      <c r="G950" t="s">
        <v>23</v>
      </c>
      <c r="H950" t="s">
        <v>23</v>
      </c>
      <c r="I950" t="s">
        <v>32</v>
      </c>
      <c r="J950" t="s">
        <v>24</v>
      </c>
      <c r="K950" t="s">
        <v>1837</v>
      </c>
      <c r="L950" t="s">
        <v>2169</v>
      </c>
      <c r="M950" t="s">
        <v>38</v>
      </c>
      <c r="N950" t="s">
        <v>2170</v>
      </c>
      <c r="O950">
        <v>1</v>
      </c>
      <c r="P950">
        <v>1</v>
      </c>
      <c r="Q950">
        <v>0</v>
      </c>
      <c r="R950" s="1">
        <v>46195.683368055557</v>
      </c>
      <c r="S950" s="1">
        <v>46206.360960648148</v>
      </c>
    </row>
    <row r="951" spans="1:19" x14ac:dyDescent="0.25">
      <c r="A951">
        <v>2010110802</v>
      </c>
      <c r="B951" t="s">
        <v>28</v>
      </c>
      <c r="C951" t="s">
        <v>29</v>
      </c>
      <c r="D951" t="s">
        <v>2173</v>
      </c>
      <c r="E951" t="s">
        <v>2174</v>
      </c>
      <c r="F951" t="e">
        <f>--ds-btn-loading-primary-outline-border</f>
        <v>#NAME?</v>
      </c>
      <c r="G951" t="s">
        <v>23</v>
      </c>
      <c r="H951" t="s">
        <v>23</v>
      </c>
      <c r="I951" t="s">
        <v>32</v>
      </c>
      <c r="J951" t="s">
        <v>24</v>
      </c>
      <c r="K951" t="s">
        <v>1837</v>
      </c>
      <c r="L951" t="s">
        <v>2169</v>
      </c>
      <c r="M951" t="s">
        <v>42</v>
      </c>
      <c r="N951" t="s">
        <v>2170</v>
      </c>
      <c r="O951">
        <v>1</v>
      </c>
      <c r="P951">
        <v>1</v>
      </c>
      <c r="Q951">
        <v>0</v>
      </c>
      <c r="R951" s="1">
        <v>46195.683368055557</v>
      </c>
      <c r="S951" s="1">
        <v>46206.360960648148</v>
      </c>
    </row>
    <row r="952" spans="1:19" x14ac:dyDescent="0.25">
      <c r="A952">
        <v>2010110803</v>
      </c>
      <c r="B952" t="s">
        <v>28</v>
      </c>
      <c r="C952" t="s">
        <v>29</v>
      </c>
      <c r="D952" t="s">
        <v>2175</v>
      </c>
      <c r="E952" t="s">
        <v>2176</v>
      </c>
      <c r="F952" t="e">
        <f>--ds-btn-loading-primary-outline-hover-bg</f>
        <v>#NAME?</v>
      </c>
      <c r="G952" t="s">
        <v>23</v>
      </c>
      <c r="H952" t="s">
        <v>23</v>
      </c>
      <c r="I952" t="s">
        <v>32</v>
      </c>
      <c r="J952" t="s">
        <v>24</v>
      </c>
      <c r="K952" t="s">
        <v>1837</v>
      </c>
      <c r="L952" t="s">
        <v>2169</v>
      </c>
      <c r="M952" t="s">
        <v>46</v>
      </c>
      <c r="N952" t="s">
        <v>2170</v>
      </c>
      <c r="O952">
        <v>1</v>
      </c>
      <c r="P952">
        <v>1</v>
      </c>
      <c r="Q952">
        <v>0</v>
      </c>
      <c r="R952" s="1">
        <v>46195.683368055557</v>
      </c>
      <c r="S952" s="1">
        <v>46206.360960648148</v>
      </c>
    </row>
    <row r="953" spans="1:19" x14ac:dyDescent="0.25">
      <c r="A953">
        <v>2010110804</v>
      </c>
      <c r="B953" t="s">
        <v>28</v>
      </c>
      <c r="C953" t="s">
        <v>29</v>
      </c>
      <c r="D953" t="s">
        <v>2177</v>
      </c>
      <c r="E953" t="s">
        <v>2178</v>
      </c>
      <c r="F953" t="e">
        <f>--ds-btn-loading-primary-outline-hover-text</f>
        <v>#NAME?</v>
      </c>
      <c r="G953" t="s">
        <v>37</v>
      </c>
      <c r="H953" t="s">
        <v>37</v>
      </c>
      <c r="I953" t="s">
        <v>32</v>
      </c>
      <c r="J953" t="s">
        <v>24</v>
      </c>
      <c r="K953" t="s">
        <v>1837</v>
      </c>
      <c r="L953" t="s">
        <v>2169</v>
      </c>
      <c r="M953" t="s">
        <v>49</v>
      </c>
      <c r="N953" t="s">
        <v>2170</v>
      </c>
      <c r="O953">
        <v>1</v>
      </c>
      <c r="P953">
        <v>1</v>
      </c>
      <c r="Q953">
        <v>0</v>
      </c>
      <c r="R953" s="1">
        <v>46195.683368055557</v>
      </c>
      <c r="S953" s="1">
        <v>46206.360960648148</v>
      </c>
    </row>
    <row r="954" spans="1:19" x14ac:dyDescent="0.25">
      <c r="A954">
        <v>2010110805</v>
      </c>
      <c r="B954" t="s">
        <v>28</v>
      </c>
      <c r="C954" t="s">
        <v>29</v>
      </c>
      <c r="D954" t="s">
        <v>2179</v>
      </c>
      <c r="E954" t="s">
        <v>2180</v>
      </c>
      <c r="F954" t="e">
        <f>--ds-btn-loading-primary-outline-hover-border</f>
        <v>#NAME?</v>
      </c>
      <c r="G954" t="s">
        <v>41</v>
      </c>
      <c r="H954" t="s">
        <v>41</v>
      </c>
      <c r="I954" t="s">
        <v>32</v>
      </c>
      <c r="J954" t="s">
        <v>24</v>
      </c>
      <c r="K954" t="s">
        <v>1837</v>
      </c>
      <c r="L954" t="s">
        <v>2169</v>
      </c>
      <c r="M954" t="s">
        <v>53</v>
      </c>
      <c r="N954" t="s">
        <v>2170</v>
      </c>
      <c r="O954">
        <v>1</v>
      </c>
      <c r="P954">
        <v>1</v>
      </c>
      <c r="Q954">
        <v>0</v>
      </c>
      <c r="R954" s="1">
        <v>46195.683368055557</v>
      </c>
      <c r="S954" s="1">
        <v>46206.360960648148</v>
      </c>
    </row>
    <row r="955" spans="1:19" x14ac:dyDescent="0.25">
      <c r="A955">
        <v>2010110806</v>
      </c>
      <c r="B955" t="s">
        <v>28</v>
      </c>
      <c r="C955" t="s">
        <v>29</v>
      </c>
      <c r="D955" t="s">
        <v>2181</v>
      </c>
      <c r="E955" t="s">
        <v>2182</v>
      </c>
      <c r="F955" t="e">
        <f>--ds-btn-loading-primary-outline-disabled-bg</f>
        <v>#NAME?</v>
      </c>
      <c r="G955" t="s">
        <v>112</v>
      </c>
      <c r="H955" t="s">
        <v>112</v>
      </c>
      <c r="I955" t="s">
        <v>32</v>
      </c>
      <c r="J955" t="s">
        <v>24</v>
      </c>
      <c r="K955" t="s">
        <v>1837</v>
      </c>
      <c r="L955" t="s">
        <v>2169</v>
      </c>
      <c r="M955" t="s">
        <v>57</v>
      </c>
      <c r="N955" t="s">
        <v>2170</v>
      </c>
      <c r="O955">
        <v>1</v>
      </c>
      <c r="P955">
        <v>1</v>
      </c>
      <c r="Q955">
        <v>0</v>
      </c>
      <c r="R955" s="1">
        <v>46195.683368055557</v>
      </c>
      <c r="S955" s="1">
        <v>46206.360960648148</v>
      </c>
    </row>
    <row r="956" spans="1:19" x14ac:dyDescent="0.25">
      <c r="A956">
        <v>2010110807</v>
      </c>
      <c r="B956" t="s">
        <v>28</v>
      </c>
      <c r="C956" t="s">
        <v>29</v>
      </c>
      <c r="D956" t="s">
        <v>2183</v>
      </c>
      <c r="E956" t="s">
        <v>2184</v>
      </c>
      <c r="F956" t="e">
        <f>--ds-btn-loading-primary-outline-disabled-text</f>
        <v>#NAME?</v>
      </c>
      <c r="G956" t="s">
        <v>60</v>
      </c>
      <c r="H956" t="s">
        <v>60</v>
      </c>
      <c r="I956" t="s">
        <v>32</v>
      </c>
      <c r="J956" t="s">
        <v>24</v>
      </c>
      <c r="K956" t="s">
        <v>1837</v>
      </c>
      <c r="L956" t="s">
        <v>2169</v>
      </c>
      <c r="M956" t="s">
        <v>61</v>
      </c>
      <c r="N956" t="s">
        <v>2170</v>
      </c>
      <c r="O956">
        <v>1</v>
      </c>
      <c r="P956">
        <v>1</v>
      </c>
      <c r="Q956">
        <v>0</v>
      </c>
      <c r="R956" s="1">
        <v>46195.683368055557</v>
      </c>
      <c r="S956" s="1">
        <v>46206.360960648148</v>
      </c>
    </row>
    <row r="957" spans="1:19" x14ac:dyDescent="0.25">
      <c r="A957">
        <v>2010110808</v>
      </c>
      <c r="B957" t="s">
        <v>28</v>
      </c>
      <c r="C957" t="s">
        <v>29</v>
      </c>
      <c r="D957" t="s">
        <v>2185</v>
      </c>
      <c r="E957" t="s">
        <v>2186</v>
      </c>
      <c r="F957" t="e">
        <f>--ds-btn-loading-primary-outline-disabled-border</f>
        <v>#NAME?</v>
      </c>
      <c r="G957" t="s">
        <v>64</v>
      </c>
      <c r="H957" t="s">
        <v>64</v>
      </c>
      <c r="I957" t="s">
        <v>32</v>
      </c>
      <c r="J957" t="s">
        <v>24</v>
      </c>
      <c r="K957" t="s">
        <v>1837</v>
      </c>
      <c r="L957" t="s">
        <v>2169</v>
      </c>
      <c r="M957" t="s">
        <v>65</v>
      </c>
      <c r="N957" t="s">
        <v>2170</v>
      </c>
      <c r="O957">
        <v>1</v>
      </c>
      <c r="P957">
        <v>1</v>
      </c>
      <c r="Q957">
        <v>0</v>
      </c>
      <c r="R957" s="1">
        <v>46195.683368055557</v>
      </c>
      <c r="S957" s="1">
        <v>46206.360960648148</v>
      </c>
    </row>
    <row r="958" spans="1:19" x14ac:dyDescent="0.25">
      <c r="A958">
        <v>2010110809</v>
      </c>
      <c r="B958" t="s">
        <v>28</v>
      </c>
      <c r="C958" t="s">
        <v>29</v>
      </c>
      <c r="D958" t="s">
        <v>2187</v>
      </c>
      <c r="E958" t="s">
        <v>2188</v>
      </c>
      <c r="F958" t="e">
        <f>--ds-btn-loading-primary-outline-spinner-color</f>
        <v>#NAME?</v>
      </c>
      <c r="G958" t="s">
        <v>23</v>
      </c>
      <c r="H958" t="s">
        <v>23</v>
      </c>
      <c r="I958" t="s">
        <v>32</v>
      </c>
      <c r="J958" t="s">
        <v>24</v>
      </c>
      <c r="K958" t="s">
        <v>1837</v>
      </c>
      <c r="L958" t="s">
        <v>2169</v>
      </c>
      <c r="M958" t="s">
        <v>1857</v>
      </c>
      <c r="N958" t="s">
        <v>2170</v>
      </c>
      <c r="O958">
        <v>1</v>
      </c>
      <c r="P958">
        <v>1</v>
      </c>
      <c r="Q958">
        <v>0</v>
      </c>
      <c r="R958" s="1">
        <v>46195.683368055557</v>
      </c>
      <c r="S958" s="1">
        <v>46206.360960648148</v>
      </c>
    </row>
    <row r="959" spans="1:19" x14ac:dyDescent="0.25">
      <c r="A959">
        <v>2010110810</v>
      </c>
      <c r="B959" t="s">
        <v>28</v>
      </c>
      <c r="C959" t="s">
        <v>29</v>
      </c>
      <c r="D959" t="s">
        <v>2189</v>
      </c>
      <c r="E959" t="s">
        <v>2190</v>
      </c>
      <c r="F959" t="e">
        <f>--ds-btn-loading-primary-outline-spinner-size</f>
        <v>#NAME?</v>
      </c>
      <c r="G959" t="s">
        <v>105</v>
      </c>
      <c r="H959" t="s">
        <v>105</v>
      </c>
      <c r="I959" t="s">
        <v>32</v>
      </c>
      <c r="J959" t="s">
        <v>78</v>
      </c>
      <c r="K959" t="s">
        <v>1837</v>
      </c>
      <c r="L959" t="s">
        <v>2169</v>
      </c>
      <c r="M959" t="s">
        <v>1860</v>
      </c>
      <c r="N959" t="s">
        <v>2170</v>
      </c>
      <c r="O959">
        <v>1</v>
      </c>
      <c r="P959">
        <v>0</v>
      </c>
      <c r="Q959">
        <v>0</v>
      </c>
      <c r="R959" s="1">
        <v>46195.683368055557</v>
      </c>
      <c r="S959" s="1">
        <v>46206.360960648148</v>
      </c>
    </row>
    <row r="960" spans="1:19" x14ac:dyDescent="0.25">
      <c r="A960">
        <v>2010110811</v>
      </c>
      <c r="B960" t="s">
        <v>28</v>
      </c>
      <c r="C960" t="s">
        <v>29</v>
      </c>
      <c r="D960" t="s">
        <v>2191</v>
      </c>
      <c r="E960" t="s">
        <v>2192</v>
      </c>
      <c r="F960" t="e">
        <f>--ds-btn-loading-primary-outline-padding-x</f>
        <v>#NAME?</v>
      </c>
      <c r="G960" t="s">
        <v>77</v>
      </c>
      <c r="H960" t="s">
        <v>77</v>
      </c>
      <c r="I960" t="s">
        <v>32</v>
      </c>
      <c r="J960" t="s">
        <v>78</v>
      </c>
      <c r="K960" t="s">
        <v>1837</v>
      </c>
      <c r="L960" t="s">
        <v>2169</v>
      </c>
      <c r="M960" t="s">
        <v>79</v>
      </c>
      <c r="N960" t="s">
        <v>2170</v>
      </c>
      <c r="O960">
        <v>1</v>
      </c>
      <c r="P960">
        <v>0</v>
      </c>
      <c r="Q960">
        <v>0</v>
      </c>
      <c r="R960" s="1">
        <v>46195.683368055557</v>
      </c>
      <c r="S960" s="1">
        <v>46206.360960648148</v>
      </c>
    </row>
    <row r="961" spans="1:19" x14ac:dyDescent="0.25">
      <c r="A961">
        <v>2010110812</v>
      </c>
      <c r="B961" t="s">
        <v>28</v>
      </c>
      <c r="C961" t="s">
        <v>29</v>
      </c>
      <c r="D961" t="s">
        <v>2193</v>
      </c>
      <c r="E961" t="s">
        <v>2194</v>
      </c>
      <c r="F961" t="e">
        <f>--ds-btn-loading-primary-outline-padding-y</f>
        <v>#NAME?</v>
      </c>
      <c r="G961" t="s">
        <v>82</v>
      </c>
      <c r="H961" t="s">
        <v>82</v>
      </c>
      <c r="I961" t="s">
        <v>32</v>
      </c>
      <c r="J961" t="s">
        <v>78</v>
      </c>
      <c r="K961" t="s">
        <v>1837</v>
      </c>
      <c r="L961" t="s">
        <v>2169</v>
      </c>
      <c r="M961" t="s">
        <v>83</v>
      </c>
      <c r="N961" t="s">
        <v>2170</v>
      </c>
      <c r="O961">
        <v>1</v>
      </c>
      <c r="P961">
        <v>0</v>
      </c>
      <c r="Q961">
        <v>0</v>
      </c>
      <c r="R961" s="1">
        <v>46195.683368055557</v>
      </c>
      <c r="S961" s="1">
        <v>46206.360960648148</v>
      </c>
    </row>
    <row r="962" spans="1:19" x14ac:dyDescent="0.25">
      <c r="A962">
        <v>2010110813</v>
      </c>
      <c r="B962" t="s">
        <v>28</v>
      </c>
      <c r="C962" t="s">
        <v>29</v>
      </c>
      <c r="D962" t="s">
        <v>2195</v>
      </c>
      <c r="E962" t="s">
        <v>2196</v>
      </c>
      <c r="F962" t="e">
        <f>--ds-btn-loading-primary-outline-gap</f>
        <v>#NAME?</v>
      </c>
      <c r="G962" t="s">
        <v>86</v>
      </c>
      <c r="H962" t="s">
        <v>86</v>
      </c>
      <c r="I962" t="s">
        <v>32</v>
      </c>
      <c r="J962" t="s">
        <v>78</v>
      </c>
      <c r="K962" t="s">
        <v>1837</v>
      </c>
      <c r="L962" t="s">
        <v>2169</v>
      </c>
      <c r="M962" t="s">
        <v>87</v>
      </c>
      <c r="N962" t="s">
        <v>2170</v>
      </c>
      <c r="O962">
        <v>1</v>
      </c>
      <c r="P962">
        <v>0</v>
      </c>
      <c r="Q962">
        <v>0</v>
      </c>
      <c r="R962" s="1">
        <v>46195.683368055557</v>
      </c>
      <c r="S962" s="1">
        <v>46206.360960648148</v>
      </c>
    </row>
    <row r="963" spans="1:19" x14ac:dyDescent="0.25">
      <c r="A963">
        <v>2010110814</v>
      </c>
      <c r="B963" t="s">
        <v>28</v>
      </c>
      <c r="C963" t="s">
        <v>29</v>
      </c>
      <c r="D963" t="s">
        <v>2197</v>
      </c>
      <c r="E963" t="s">
        <v>2198</v>
      </c>
      <c r="F963" t="e">
        <f>--ds-btn-loading-primary-outline-focus-ring</f>
        <v>#NAME?</v>
      </c>
      <c r="G963" t="s">
        <v>90</v>
      </c>
      <c r="H963" t="s">
        <v>90</v>
      </c>
      <c r="I963" t="s">
        <v>32</v>
      </c>
      <c r="J963" t="s">
        <v>69</v>
      </c>
      <c r="K963" t="s">
        <v>1837</v>
      </c>
      <c r="L963" t="s">
        <v>2169</v>
      </c>
      <c r="M963" t="s">
        <v>91</v>
      </c>
      <c r="N963" t="s">
        <v>2170</v>
      </c>
      <c r="O963">
        <v>1</v>
      </c>
      <c r="P963">
        <v>0</v>
      </c>
      <c r="Q963">
        <v>0</v>
      </c>
      <c r="R963" s="1">
        <v>46195.683368055557</v>
      </c>
      <c r="S963" s="1">
        <v>46206.360960648148</v>
      </c>
    </row>
    <row r="964" spans="1:19" x14ac:dyDescent="0.25">
      <c r="A964">
        <v>2010110815</v>
      </c>
      <c r="B964" t="s">
        <v>28</v>
      </c>
      <c r="C964" t="s">
        <v>29</v>
      </c>
      <c r="D964" t="s">
        <v>2199</v>
      </c>
      <c r="E964" t="s">
        <v>2200</v>
      </c>
      <c r="F964" t="e">
        <f>--ds-btn-loading-primary-outline-outline</f>
        <v>#NAME?</v>
      </c>
      <c r="G964" t="s">
        <v>94</v>
      </c>
      <c r="H964" t="s">
        <v>94</v>
      </c>
      <c r="I964" t="s">
        <v>32</v>
      </c>
      <c r="J964" t="s">
        <v>69</v>
      </c>
      <c r="K964" t="s">
        <v>1837</v>
      </c>
      <c r="L964" t="s">
        <v>2169</v>
      </c>
      <c r="M964" t="s">
        <v>95</v>
      </c>
      <c r="N964" t="s">
        <v>2170</v>
      </c>
      <c r="O964">
        <v>1</v>
      </c>
      <c r="P964">
        <v>0</v>
      </c>
      <c r="Q964">
        <v>0</v>
      </c>
      <c r="R964" s="1">
        <v>46195.683368055557</v>
      </c>
      <c r="S964" s="1">
        <v>46206.360960648148</v>
      </c>
    </row>
    <row r="965" spans="1:19" x14ac:dyDescent="0.25">
      <c r="A965">
        <v>2010110816</v>
      </c>
      <c r="B965" t="s">
        <v>28</v>
      </c>
      <c r="C965" t="s">
        <v>29</v>
      </c>
      <c r="D965" t="s">
        <v>2201</v>
      </c>
      <c r="E965" t="s">
        <v>2202</v>
      </c>
      <c r="F965" t="e">
        <f>--ds-btn-loading-primary-outline-transition</f>
        <v>#NAME?</v>
      </c>
      <c r="G965" t="s">
        <v>98</v>
      </c>
      <c r="H965" t="s">
        <v>98</v>
      </c>
      <c r="I965" t="s">
        <v>32</v>
      </c>
      <c r="J965" t="s">
        <v>69</v>
      </c>
      <c r="K965" t="s">
        <v>1837</v>
      </c>
      <c r="L965" t="s">
        <v>2169</v>
      </c>
      <c r="M965" t="s">
        <v>99</v>
      </c>
      <c r="N965" t="s">
        <v>2170</v>
      </c>
      <c r="O965">
        <v>1</v>
      </c>
      <c r="P965">
        <v>0</v>
      </c>
      <c r="Q965">
        <v>0</v>
      </c>
      <c r="R965" s="1">
        <v>46195.683368055557</v>
      </c>
      <c r="S965" s="1">
        <v>46206.360960648148</v>
      </c>
    </row>
    <row r="966" spans="1:19" x14ac:dyDescent="0.25">
      <c r="A966">
        <v>2010110817</v>
      </c>
      <c r="B966" t="s">
        <v>28</v>
      </c>
      <c r="C966" t="s">
        <v>29</v>
      </c>
      <c r="D966" t="s">
        <v>2203</v>
      </c>
      <c r="E966" t="s">
        <v>2204</v>
      </c>
      <c r="F966" t="e">
        <f>--ds-btn-loading-primary-outline-icon-color</f>
        <v>#NAME?</v>
      </c>
      <c r="G966" t="s">
        <v>23</v>
      </c>
      <c r="H966" t="s">
        <v>23</v>
      </c>
      <c r="I966" t="s">
        <v>32</v>
      </c>
      <c r="J966" t="s">
        <v>24</v>
      </c>
      <c r="K966" t="s">
        <v>1837</v>
      </c>
      <c r="L966" t="s">
        <v>2169</v>
      </c>
      <c r="M966" t="s">
        <v>102</v>
      </c>
      <c r="N966" t="s">
        <v>2170</v>
      </c>
      <c r="O966">
        <v>1</v>
      </c>
      <c r="P966">
        <v>0</v>
      </c>
      <c r="Q966">
        <v>0</v>
      </c>
      <c r="R966" s="1">
        <v>46195.683368055557</v>
      </c>
      <c r="S966" s="1">
        <v>46206.360960648148</v>
      </c>
    </row>
    <row r="967" spans="1:19" x14ac:dyDescent="0.25">
      <c r="A967">
        <v>2010110818</v>
      </c>
      <c r="B967" t="s">
        <v>28</v>
      </c>
      <c r="C967" t="s">
        <v>29</v>
      </c>
      <c r="D967" t="s">
        <v>2205</v>
      </c>
      <c r="E967" t="s">
        <v>2206</v>
      </c>
      <c r="F967" t="e">
        <f>--ds-btn-loading-primary-outline-icon-size</f>
        <v>#NAME?</v>
      </c>
      <c r="G967" t="s">
        <v>105</v>
      </c>
      <c r="H967" t="s">
        <v>105</v>
      </c>
      <c r="I967" t="s">
        <v>32</v>
      </c>
      <c r="J967" t="s">
        <v>78</v>
      </c>
      <c r="K967" t="s">
        <v>1837</v>
      </c>
      <c r="L967" t="s">
        <v>2169</v>
      </c>
      <c r="M967" t="s">
        <v>106</v>
      </c>
      <c r="N967" t="s">
        <v>2170</v>
      </c>
      <c r="O967">
        <v>1</v>
      </c>
      <c r="P967">
        <v>0</v>
      </c>
      <c r="Q967">
        <v>0</v>
      </c>
      <c r="R967" s="1">
        <v>46195.683368055557</v>
      </c>
      <c r="S967" s="1">
        <v>46206.360960648148</v>
      </c>
    </row>
    <row r="968" spans="1:19" x14ac:dyDescent="0.25">
      <c r="A968">
        <v>2010110819</v>
      </c>
      <c r="B968" t="s">
        <v>28</v>
      </c>
      <c r="C968" t="s">
        <v>29</v>
      </c>
      <c r="D968" t="s">
        <v>2207</v>
      </c>
      <c r="E968" t="s">
        <v>2208</v>
      </c>
      <c r="F968" t="e">
        <f>--ds-btn-loading-primary-outline-line-height</f>
        <v>#NAME?</v>
      </c>
      <c r="G968">
        <v>1.2</v>
      </c>
      <c r="H968">
        <v>1.2</v>
      </c>
      <c r="I968" t="s">
        <v>32</v>
      </c>
      <c r="J968" t="s">
        <v>78</v>
      </c>
      <c r="K968" t="s">
        <v>1837</v>
      </c>
      <c r="L968" t="s">
        <v>2169</v>
      </c>
      <c r="M968" t="s">
        <v>109</v>
      </c>
      <c r="N968" t="s">
        <v>2170</v>
      </c>
      <c r="O968">
        <v>1</v>
      </c>
      <c r="P968">
        <v>0</v>
      </c>
      <c r="Q968">
        <v>0</v>
      </c>
      <c r="R968" s="1">
        <v>46195.683368055557</v>
      </c>
      <c r="S968" s="1">
        <v>46206.360960648148</v>
      </c>
    </row>
    <row r="969" spans="1:19" x14ac:dyDescent="0.25">
      <c r="A969">
        <v>2010110900</v>
      </c>
      <c r="B969" t="s">
        <v>28</v>
      </c>
      <c r="C969" t="s">
        <v>29</v>
      </c>
      <c r="D969" t="s">
        <v>2209</v>
      </c>
      <c r="E969" t="s">
        <v>2210</v>
      </c>
      <c r="F969" t="e">
        <f>--ds-btn-loading-secondary-outline-bg</f>
        <v>#NAME?</v>
      </c>
      <c r="G969" t="s">
        <v>112</v>
      </c>
      <c r="H969" t="s">
        <v>112</v>
      </c>
      <c r="I969" t="s">
        <v>32</v>
      </c>
      <c r="J969" t="s">
        <v>24</v>
      </c>
      <c r="K969" t="s">
        <v>1837</v>
      </c>
      <c r="L969" t="s">
        <v>2211</v>
      </c>
      <c r="M969" t="s">
        <v>26</v>
      </c>
      <c r="N969" t="s">
        <v>2212</v>
      </c>
      <c r="O969">
        <v>1</v>
      </c>
      <c r="P969">
        <v>1</v>
      </c>
      <c r="Q969">
        <v>0</v>
      </c>
      <c r="R969" s="1">
        <v>46195.683807870373</v>
      </c>
      <c r="S969" s="1">
        <v>46206.360960648148</v>
      </c>
    </row>
    <row r="970" spans="1:19" x14ac:dyDescent="0.25">
      <c r="A970">
        <v>2010110901</v>
      </c>
      <c r="B970" t="s">
        <v>28</v>
      </c>
      <c r="C970" t="s">
        <v>29</v>
      </c>
      <c r="D970" t="s">
        <v>2213</v>
      </c>
      <c r="E970" t="s">
        <v>2214</v>
      </c>
      <c r="F970" t="e">
        <f>--ds-btn-loading-secondary-outline-text</f>
        <v>#NAME?</v>
      </c>
      <c r="G970" t="s">
        <v>60</v>
      </c>
      <c r="H970" t="s">
        <v>60</v>
      </c>
      <c r="I970" t="s">
        <v>32</v>
      </c>
      <c r="J970" t="s">
        <v>24</v>
      </c>
      <c r="K970" t="s">
        <v>1837</v>
      </c>
      <c r="L970" t="s">
        <v>2211</v>
      </c>
      <c r="M970" t="s">
        <v>38</v>
      </c>
      <c r="N970" t="s">
        <v>2212</v>
      </c>
      <c r="O970">
        <v>1</v>
      </c>
      <c r="P970">
        <v>1</v>
      </c>
      <c r="Q970">
        <v>0</v>
      </c>
      <c r="R970" s="1">
        <v>46195.683807870373</v>
      </c>
      <c r="S970" s="1">
        <v>46206.360960648148</v>
      </c>
    </row>
    <row r="971" spans="1:19" x14ac:dyDescent="0.25">
      <c r="A971">
        <v>2010110902</v>
      </c>
      <c r="B971" t="s">
        <v>28</v>
      </c>
      <c r="C971" t="s">
        <v>29</v>
      </c>
      <c r="D971" t="s">
        <v>2215</v>
      </c>
      <c r="E971" t="s">
        <v>2216</v>
      </c>
      <c r="F971" t="e">
        <f>--ds-btn-loading-secondary-outline-border</f>
        <v>#NAME?</v>
      </c>
      <c r="G971" t="s">
        <v>60</v>
      </c>
      <c r="H971" t="s">
        <v>60</v>
      </c>
      <c r="I971" t="s">
        <v>32</v>
      </c>
      <c r="J971" t="s">
        <v>24</v>
      </c>
      <c r="K971" t="s">
        <v>1837</v>
      </c>
      <c r="L971" t="s">
        <v>2211</v>
      </c>
      <c r="M971" t="s">
        <v>42</v>
      </c>
      <c r="N971" t="s">
        <v>2212</v>
      </c>
      <c r="O971">
        <v>1</v>
      </c>
      <c r="P971">
        <v>1</v>
      </c>
      <c r="Q971">
        <v>0</v>
      </c>
      <c r="R971" s="1">
        <v>46195.683807870373</v>
      </c>
      <c r="S971" s="1">
        <v>46206.360960648148</v>
      </c>
    </row>
    <row r="972" spans="1:19" x14ac:dyDescent="0.25">
      <c r="A972">
        <v>2010110903</v>
      </c>
      <c r="B972" t="s">
        <v>28</v>
      </c>
      <c r="C972" t="s">
        <v>29</v>
      </c>
      <c r="D972" t="s">
        <v>2217</v>
      </c>
      <c r="E972" t="s">
        <v>2218</v>
      </c>
      <c r="F972" t="e">
        <f>--ds-btn-loading-secondary-outline-hover-bg</f>
        <v>#NAME?</v>
      </c>
      <c r="G972" t="s">
        <v>60</v>
      </c>
      <c r="H972" t="s">
        <v>60</v>
      </c>
      <c r="I972" t="s">
        <v>32</v>
      </c>
      <c r="J972" t="s">
        <v>24</v>
      </c>
      <c r="K972" t="s">
        <v>1837</v>
      </c>
      <c r="L972" t="s">
        <v>2211</v>
      </c>
      <c r="M972" t="s">
        <v>46</v>
      </c>
      <c r="N972" t="s">
        <v>2212</v>
      </c>
      <c r="O972">
        <v>1</v>
      </c>
      <c r="P972">
        <v>1</v>
      </c>
      <c r="Q972">
        <v>0</v>
      </c>
      <c r="R972" s="1">
        <v>46195.683807870373</v>
      </c>
      <c r="S972" s="1">
        <v>46206.360960648148</v>
      </c>
    </row>
    <row r="973" spans="1:19" x14ac:dyDescent="0.25">
      <c r="A973">
        <v>2010110904</v>
      </c>
      <c r="B973" t="s">
        <v>28</v>
      </c>
      <c r="C973" t="s">
        <v>29</v>
      </c>
      <c r="D973" t="s">
        <v>2219</v>
      </c>
      <c r="E973" t="s">
        <v>2220</v>
      </c>
      <c r="F973" t="e">
        <f>--ds-btn-loading-secondary-outline-hover-text</f>
        <v>#NAME?</v>
      </c>
      <c r="G973" t="s">
        <v>37</v>
      </c>
      <c r="H973" t="s">
        <v>37</v>
      </c>
      <c r="I973" t="s">
        <v>32</v>
      </c>
      <c r="J973" t="s">
        <v>24</v>
      </c>
      <c r="K973" t="s">
        <v>1837</v>
      </c>
      <c r="L973" t="s">
        <v>2211</v>
      </c>
      <c r="M973" t="s">
        <v>49</v>
      </c>
      <c r="N973" t="s">
        <v>2212</v>
      </c>
      <c r="O973">
        <v>1</v>
      </c>
      <c r="P973">
        <v>1</v>
      </c>
      <c r="Q973">
        <v>0</v>
      </c>
      <c r="R973" s="1">
        <v>46195.683807870373</v>
      </c>
      <c r="S973" s="1">
        <v>46206.360960648148</v>
      </c>
    </row>
    <row r="974" spans="1:19" x14ac:dyDescent="0.25">
      <c r="A974">
        <v>2010110905</v>
      </c>
      <c r="B974" t="s">
        <v>28</v>
      </c>
      <c r="C974" t="s">
        <v>29</v>
      </c>
      <c r="D974" t="s">
        <v>2221</v>
      </c>
      <c r="E974" t="s">
        <v>2222</v>
      </c>
      <c r="F974" t="e">
        <f>--ds-btn-loading-secondary-outline-hover-border</f>
        <v>#NAME?</v>
      </c>
      <c r="G974" t="s">
        <v>871</v>
      </c>
      <c r="H974" t="s">
        <v>871</v>
      </c>
      <c r="I974" t="s">
        <v>32</v>
      </c>
      <c r="J974" t="s">
        <v>24</v>
      </c>
      <c r="K974" t="s">
        <v>1837</v>
      </c>
      <c r="L974" t="s">
        <v>2211</v>
      </c>
      <c r="M974" t="s">
        <v>53</v>
      </c>
      <c r="N974" t="s">
        <v>2212</v>
      </c>
      <c r="O974">
        <v>1</v>
      </c>
      <c r="P974">
        <v>1</v>
      </c>
      <c r="Q974">
        <v>0</v>
      </c>
      <c r="R974" s="1">
        <v>46195.683807870373</v>
      </c>
      <c r="S974" s="1">
        <v>46206.360960648148</v>
      </c>
    </row>
    <row r="975" spans="1:19" x14ac:dyDescent="0.25">
      <c r="A975">
        <v>2010110906</v>
      </c>
      <c r="B975" t="s">
        <v>28</v>
      </c>
      <c r="C975" t="s">
        <v>29</v>
      </c>
      <c r="D975" t="s">
        <v>2223</v>
      </c>
      <c r="E975" t="s">
        <v>2224</v>
      </c>
      <c r="F975" t="e">
        <f>--ds-btn-loading-secondary-outline-disabled-bg</f>
        <v>#NAME?</v>
      </c>
      <c r="G975" t="s">
        <v>112</v>
      </c>
      <c r="H975" t="s">
        <v>112</v>
      </c>
      <c r="I975" t="s">
        <v>32</v>
      </c>
      <c r="J975" t="s">
        <v>24</v>
      </c>
      <c r="K975" t="s">
        <v>1837</v>
      </c>
      <c r="L975" t="s">
        <v>2211</v>
      </c>
      <c r="M975" t="s">
        <v>57</v>
      </c>
      <c r="N975" t="s">
        <v>2212</v>
      </c>
      <c r="O975">
        <v>1</v>
      </c>
      <c r="P975">
        <v>1</v>
      </c>
      <c r="Q975">
        <v>0</v>
      </c>
      <c r="R975" s="1">
        <v>46195.683807870373</v>
      </c>
      <c r="S975" s="1">
        <v>46206.360960648148</v>
      </c>
    </row>
    <row r="976" spans="1:19" x14ac:dyDescent="0.25">
      <c r="A976">
        <v>2010110907</v>
      </c>
      <c r="B976" t="s">
        <v>28</v>
      </c>
      <c r="C976" t="s">
        <v>29</v>
      </c>
      <c r="D976" t="s">
        <v>2225</v>
      </c>
      <c r="E976" t="s">
        <v>2226</v>
      </c>
      <c r="F976" t="e">
        <f>--ds-btn-loading-secondary-outline-disabled-text</f>
        <v>#NAME?</v>
      </c>
      <c r="G976" t="s">
        <v>60</v>
      </c>
      <c r="H976" t="s">
        <v>60</v>
      </c>
      <c r="I976" t="s">
        <v>32</v>
      </c>
      <c r="J976" t="s">
        <v>24</v>
      </c>
      <c r="K976" t="s">
        <v>1837</v>
      </c>
      <c r="L976" t="s">
        <v>2211</v>
      </c>
      <c r="M976" t="s">
        <v>61</v>
      </c>
      <c r="N976" t="s">
        <v>2212</v>
      </c>
      <c r="O976">
        <v>1</v>
      </c>
      <c r="P976">
        <v>1</v>
      </c>
      <c r="Q976">
        <v>0</v>
      </c>
      <c r="R976" s="1">
        <v>46195.683807870373</v>
      </c>
      <c r="S976" s="1">
        <v>46206.360960648148</v>
      </c>
    </row>
    <row r="977" spans="1:19" x14ac:dyDescent="0.25">
      <c r="A977">
        <v>2010110908</v>
      </c>
      <c r="B977" t="s">
        <v>28</v>
      </c>
      <c r="C977" t="s">
        <v>29</v>
      </c>
      <c r="D977" t="s">
        <v>2227</v>
      </c>
      <c r="E977" t="s">
        <v>2228</v>
      </c>
      <c r="F977" t="e">
        <f>--ds-btn-loading-secondary-outline-disabled-border</f>
        <v>#NAME?</v>
      </c>
      <c r="G977" t="s">
        <v>447</v>
      </c>
      <c r="H977" t="s">
        <v>447</v>
      </c>
      <c r="I977" t="s">
        <v>32</v>
      </c>
      <c r="J977" t="s">
        <v>24</v>
      </c>
      <c r="K977" t="s">
        <v>1837</v>
      </c>
      <c r="L977" t="s">
        <v>2211</v>
      </c>
      <c r="M977" t="s">
        <v>65</v>
      </c>
      <c r="N977" t="s">
        <v>2212</v>
      </c>
      <c r="O977">
        <v>1</v>
      </c>
      <c r="P977">
        <v>1</v>
      </c>
      <c r="Q977">
        <v>0</v>
      </c>
      <c r="R977" s="1">
        <v>46195.683807870373</v>
      </c>
      <c r="S977" s="1">
        <v>46206.360960648148</v>
      </c>
    </row>
    <row r="978" spans="1:19" x14ac:dyDescent="0.25">
      <c r="A978">
        <v>2010110909</v>
      </c>
      <c r="B978" t="s">
        <v>28</v>
      </c>
      <c r="C978" t="s">
        <v>29</v>
      </c>
      <c r="D978" t="s">
        <v>2229</v>
      </c>
      <c r="E978" t="s">
        <v>2230</v>
      </c>
      <c r="F978" t="e">
        <f>--ds-btn-loading-secondary-outline-spinner-color</f>
        <v>#NAME?</v>
      </c>
      <c r="G978" t="s">
        <v>60</v>
      </c>
      <c r="H978" t="s">
        <v>60</v>
      </c>
      <c r="I978" t="s">
        <v>32</v>
      </c>
      <c r="J978" t="s">
        <v>24</v>
      </c>
      <c r="K978" t="s">
        <v>1837</v>
      </c>
      <c r="L978" t="s">
        <v>2211</v>
      </c>
      <c r="M978" t="s">
        <v>1857</v>
      </c>
      <c r="N978" t="s">
        <v>2212</v>
      </c>
      <c r="O978">
        <v>1</v>
      </c>
      <c r="P978">
        <v>1</v>
      </c>
      <c r="Q978">
        <v>0</v>
      </c>
      <c r="R978" s="1">
        <v>46195.683807870373</v>
      </c>
      <c r="S978" s="1">
        <v>46206.360960648148</v>
      </c>
    </row>
    <row r="979" spans="1:19" x14ac:dyDescent="0.25">
      <c r="A979">
        <v>2010110910</v>
      </c>
      <c r="B979" t="s">
        <v>28</v>
      </c>
      <c r="C979" t="s">
        <v>29</v>
      </c>
      <c r="D979" t="s">
        <v>2231</v>
      </c>
      <c r="E979" t="s">
        <v>2232</v>
      </c>
      <c r="F979" t="e">
        <f>--ds-btn-loading-secondary-outline-spinner-size</f>
        <v>#NAME?</v>
      </c>
      <c r="G979" t="s">
        <v>105</v>
      </c>
      <c r="H979" t="s">
        <v>105</v>
      </c>
      <c r="I979" t="s">
        <v>32</v>
      </c>
      <c r="J979" t="s">
        <v>78</v>
      </c>
      <c r="K979" t="s">
        <v>1837</v>
      </c>
      <c r="L979" t="s">
        <v>2211</v>
      </c>
      <c r="M979" t="s">
        <v>1860</v>
      </c>
      <c r="N979" t="s">
        <v>2212</v>
      </c>
      <c r="O979">
        <v>1</v>
      </c>
      <c r="P979">
        <v>0</v>
      </c>
      <c r="Q979">
        <v>0</v>
      </c>
      <c r="R979" s="1">
        <v>46195.683807870373</v>
      </c>
      <c r="S979" s="1">
        <v>46206.360960648148</v>
      </c>
    </row>
    <row r="980" spans="1:19" x14ac:dyDescent="0.25">
      <c r="A980">
        <v>2010110911</v>
      </c>
      <c r="B980" t="s">
        <v>28</v>
      </c>
      <c r="C980" t="s">
        <v>29</v>
      </c>
      <c r="D980" t="s">
        <v>2233</v>
      </c>
      <c r="E980" t="s">
        <v>2234</v>
      </c>
      <c r="F980" t="e">
        <f>--ds-btn-loading-secondary-outline-padding-x</f>
        <v>#NAME?</v>
      </c>
      <c r="G980" t="s">
        <v>77</v>
      </c>
      <c r="H980" t="s">
        <v>77</v>
      </c>
      <c r="I980" t="s">
        <v>32</v>
      </c>
      <c r="J980" t="s">
        <v>78</v>
      </c>
      <c r="K980" t="s">
        <v>1837</v>
      </c>
      <c r="L980" t="s">
        <v>2211</v>
      </c>
      <c r="M980" t="s">
        <v>79</v>
      </c>
      <c r="N980" t="s">
        <v>2212</v>
      </c>
      <c r="O980">
        <v>1</v>
      </c>
      <c r="P980">
        <v>0</v>
      </c>
      <c r="Q980">
        <v>0</v>
      </c>
      <c r="R980" s="1">
        <v>46195.683807870373</v>
      </c>
      <c r="S980" s="1">
        <v>46206.360960648148</v>
      </c>
    </row>
    <row r="981" spans="1:19" x14ac:dyDescent="0.25">
      <c r="A981">
        <v>2010110912</v>
      </c>
      <c r="B981" t="s">
        <v>28</v>
      </c>
      <c r="C981" t="s">
        <v>29</v>
      </c>
      <c r="D981" t="s">
        <v>2235</v>
      </c>
      <c r="E981" t="s">
        <v>2236</v>
      </c>
      <c r="F981" t="e">
        <f>--ds-btn-loading-secondary-outline-padding-y</f>
        <v>#NAME?</v>
      </c>
      <c r="G981" t="s">
        <v>82</v>
      </c>
      <c r="H981" t="s">
        <v>82</v>
      </c>
      <c r="I981" t="s">
        <v>32</v>
      </c>
      <c r="J981" t="s">
        <v>78</v>
      </c>
      <c r="K981" t="s">
        <v>1837</v>
      </c>
      <c r="L981" t="s">
        <v>2211</v>
      </c>
      <c r="M981" t="s">
        <v>83</v>
      </c>
      <c r="N981" t="s">
        <v>2212</v>
      </c>
      <c r="O981">
        <v>1</v>
      </c>
      <c r="P981">
        <v>0</v>
      </c>
      <c r="Q981">
        <v>0</v>
      </c>
      <c r="R981" s="1">
        <v>46195.683807870373</v>
      </c>
      <c r="S981" s="1">
        <v>46206.360960648148</v>
      </c>
    </row>
    <row r="982" spans="1:19" x14ac:dyDescent="0.25">
      <c r="A982">
        <v>2010110913</v>
      </c>
      <c r="B982" t="s">
        <v>28</v>
      </c>
      <c r="C982" t="s">
        <v>29</v>
      </c>
      <c r="D982" t="s">
        <v>2237</v>
      </c>
      <c r="E982" t="s">
        <v>2238</v>
      </c>
      <c r="F982" t="e">
        <f>--ds-btn-loading-secondary-outline-gap</f>
        <v>#NAME?</v>
      </c>
      <c r="G982" t="s">
        <v>86</v>
      </c>
      <c r="H982" t="s">
        <v>86</v>
      </c>
      <c r="I982" t="s">
        <v>32</v>
      </c>
      <c r="J982" t="s">
        <v>78</v>
      </c>
      <c r="K982" t="s">
        <v>1837</v>
      </c>
      <c r="L982" t="s">
        <v>2211</v>
      </c>
      <c r="M982" t="s">
        <v>87</v>
      </c>
      <c r="N982" t="s">
        <v>2212</v>
      </c>
      <c r="O982">
        <v>1</v>
      </c>
      <c r="P982">
        <v>0</v>
      </c>
      <c r="Q982">
        <v>0</v>
      </c>
      <c r="R982" s="1">
        <v>46195.683807870373</v>
      </c>
      <c r="S982" s="1">
        <v>46206.360960648148</v>
      </c>
    </row>
    <row r="983" spans="1:19" x14ac:dyDescent="0.25">
      <c r="A983">
        <v>2010110914</v>
      </c>
      <c r="B983" t="s">
        <v>28</v>
      </c>
      <c r="C983" t="s">
        <v>29</v>
      </c>
      <c r="D983" t="s">
        <v>2239</v>
      </c>
      <c r="E983" t="s">
        <v>2240</v>
      </c>
      <c r="F983" t="e">
        <f>--ds-btn-loading-secondary-outline-focus-ring</f>
        <v>#NAME?</v>
      </c>
      <c r="G983" t="s">
        <v>1230</v>
      </c>
      <c r="H983" t="s">
        <v>1230</v>
      </c>
      <c r="I983" t="s">
        <v>32</v>
      </c>
      <c r="J983" t="s">
        <v>69</v>
      </c>
      <c r="K983" t="s">
        <v>1837</v>
      </c>
      <c r="L983" t="s">
        <v>2211</v>
      </c>
      <c r="M983" t="s">
        <v>91</v>
      </c>
      <c r="N983" t="s">
        <v>2212</v>
      </c>
      <c r="O983">
        <v>1</v>
      </c>
      <c r="P983">
        <v>0</v>
      </c>
      <c r="Q983">
        <v>0</v>
      </c>
      <c r="R983" s="1">
        <v>46195.683807870373</v>
      </c>
      <c r="S983" s="1">
        <v>46206.360960648148</v>
      </c>
    </row>
    <row r="984" spans="1:19" x14ac:dyDescent="0.25">
      <c r="A984">
        <v>2010110915</v>
      </c>
      <c r="B984" t="s">
        <v>28</v>
      </c>
      <c r="C984" t="s">
        <v>29</v>
      </c>
      <c r="D984" t="s">
        <v>2241</v>
      </c>
      <c r="E984" t="s">
        <v>2242</v>
      </c>
      <c r="F984" t="e">
        <f>--ds-btn-loading-secondary-outline-outline</f>
        <v>#NAME?</v>
      </c>
      <c r="G984" t="s">
        <v>94</v>
      </c>
      <c r="H984" t="s">
        <v>94</v>
      </c>
      <c r="I984" t="s">
        <v>32</v>
      </c>
      <c r="J984" t="s">
        <v>69</v>
      </c>
      <c r="K984" t="s">
        <v>1837</v>
      </c>
      <c r="L984" t="s">
        <v>2211</v>
      </c>
      <c r="M984" t="s">
        <v>95</v>
      </c>
      <c r="N984" t="s">
        <v>2212</v>
      </c>
      <c r="O984">
        <v>1</v>
      </c>
      <c r="P984">
        <v>0</v>
      </c>
      <c r="Q984">
        <v>0</v>
      </c>
      <c r="R984" s="1">
        <v>46195.683807870373</v>
      </c>
      <c r="S984" s="1">
        <v>46206.360960648148</v>
      </c>
    </row>
    <row r="985" spans="1:19" x14ac:dyDescent="0.25">
      <c r="A985">
        <v>2010110916</v>
      </c>
      <c r="B985" t="s">
        <v>28</v>
      </c>
      <c r="C985" t="s">
        <v>29</v>
      </c>
      <c r="D985" t="s">
        <v>2243</v>
      </c>
      <c r="E985" t="s">
        <v>2244</v>
      </c>
      <c r="F985" t="e">
        <f>--ds-btn-loading-secondary-outline-transition</f>
        <v>#NAME?</v>
      </c>
      <c r="G985" t="s">
        <v>98</v>
      </c>
      <c r="H985" t="s">
        <v>98</v>
      </c>
      <c r="I985" t="s">
        <v>32</v>
      </c>
      <c r="J985" t="s">
        <v>69</v>
      </c>
      <c r="K985" t="s">
        <v>1837</v>
      </c>
      <c r="L985" t="s">
        <v>2211</v>
      </c>
      <c r="M985" t="s">
        <v>99</v>
      </c>
      <c r="N985" t="s">
        <v>2212</v>
      </c>
      <c r="O985">
        <v>1</v>
      </c>
      <c r="P985">
        <v>0</v>
      </c>
      <c r="Q985">
        <v>0</v>
      </c>
      <c r="R985" s="1">
        <v>46195.683807870373</v>
      </c>
      <c r="S985" s="1">
        <v>46206.360960648148</v>
      </c>
    </row>
    <row r="986" spans="1:19" x14ac:dyDescent="0.25">
      <c r="A986">
        <v>2010110917</v>
      </c>
      <c r="B986" t="s">
        <v>28</v>
      </c>
      <c r="C986" t="s">
        <v>29</v>
      </c>
      <c r="D986" t="s">
        <v>2245</v>
      </c>
      <c r="E986" t="s">
        <v>2246</v>
      </c>
      <c r="F986" t="e">
        <f>--ds-btn-loading-secondary-outline-icon-color</f>
        <v>#NAME?</v>
      </c>
      <c r="G986" t="s">
        <v>60</v>
      </c>
      <c r="H986" t="s">
        <v>60</v>
      </c>
      <c r="I986" t="s">
        <v>32</v>
      </c>
      <c r="J986" t="s">
        <v>24</v>
      </c>
      <c r="K986" t="s">
        <v>1837</v>
      </c>
      <c r="L986" t="s">
        <v>2211</v>
      </c>
      <c r="M986" t="s">
        <v>102</v>
      </c>
      <c r="N986" t="s">
        <v>2212</v>
      </c>
      <c r="O986">
        <v>1</v>
      </c>
      <c r="P986">
        <v>0</v>
      </c>
      <c r="Q986">
        <v>0</v>
      </c>
      <c r="R986" s="1">
        <v>46195.683807870373</v>
      </c>
      <c r="S986" s="1">
        <v>46206.360960648148</v>
      </c>
    </row>
    <row r="987" spans="1:19" x14ac:dyDescent="0.25">
      <c r="A987">
        <v>2010110918</v>
      </c>
      <c r="B987" t="s">
        <v>28</v>
      </c>
      <c r="C987" t="s">
        <v>29</v>
      </c>
      <c r="D987" t="s">
        <v>2247</v>
      </c>
      <c r="E987" t="s">
        <v>2248</v>
      </c>
      <c r="F987" t="e">
        <f>--ds-btn-loading-secondary-outline-icon-size</f>
        <v>#NAME?</v>
      </c>
      <c r="G987" t="s">
        <v>105</v>
      </c>
      <c r="H987" t="s">
        <v>105</v>
      </c>
      <c r="I987" t="s">
        <v>32</v>
      </c>
      <c r="J987" t="s">
        <v>78</v>
      </c>
      <c r="K987" t="s">
        <v>1837</v>
      </c>
      <c r="L987" t="s">
        <v>2211</v>
      </c>
      <c r="M987" t="s">
        <v>106</v>
      </c>
      <c r="N987" t="s">
        <v>2212</v>
      </c>
      <c r="O987">
        <v>1</v>
      </c>
      <c r="P987">
        <v>0</v>
      </c>
      <c r="Q987">
        <v>0</v>
      </c>
      <c r="R987" s="1">
        <v>46195.683807870373</v>
      </c>
      <c r="S987" s="1">
        <v>46206.360960648148</v>
      </c>
    </row>
    <row r="988" spans="1:19" x14ac:dyDescent="0.25">
      <c r="A988">
        <v>2010110919</v>
      </c>
      <c r="B988" t="s">
        <v>28</v>
      </c>
      <c r="C988" t="s">
        <v>29</v>
      </c>
      <c r="D988" t="s">
        <v>2249</v>
      </c>
      <c r="E988" t="s">
        <v>2250</v>
      </c>
      <c r="F988" t="e">
        <f>--ds-btn-loading-secondary-outline-line-height</f>
        <v>#NAME?</v>
      </c>
      <c r="G988">
        <v>1.2</v>
      </c>
      <c r="H988">
        <v>1.2</v>
      </c>
      <c r="I988" t="s">
        <v>32</v>
      </c>
      <c r="J988" t="s">
        <v>78</v>
      </c>
      <c r="K988" t="s">
        <v>1837</v>
      </c>
      <c r="L988" t="s">
        <v>2211</v>
      </c>
      <c r="M988" t="s">
        <v>109</v>
      </c>
      <c r="N988" t="s">
        <v>2212</v>
      </c>
      <c r="O988">
        <v>1</v>
      </c>
      <c r="P988">
        <v>0</v>
      </c>
      <c r="Q988">
        <v>0</v>
      </c>
      <c r="R988" s="1">
        <v>46195.683807870373</v>
      </c>
      <c r="S988" s="1">
        <v>46206.360960648148</v>
      </c>
    </row>
    <row r="989" spans="1:19" x14ac:dyDescent="0.25">
      <c r="A989">
        <v>2010111000</v>
      </c>
      <c r="B989" t="s">
        <v>28</v>
      </c>
      <c r="C989" t="s">
        <v>29</v>
      </c>
      <c r="D989" t="s">
        <v>2251</v>
      </c>
      <c r="E989" t="s">
        <v>2252</v>
      </c>
      <c r="F989" t="e">
        <f>--ds-btn-block-primary-bg</f>
        <v>#NAME?</v>
      </c>
      <c r="G989" t="s">
        <v>23</v>
      </c>
      <c r="H989" t="s">
        <v>23</v>
      </c>
      <c r="I989" t="s">
        <v>32</v>
      </c>
      <c r="J989" t="s">
        <v>24</v>
      </c>
      <c r="K989" t="s">
        <v>2253</v>
      </c>
      <c r="L989" t="s">
        <v>25</v>
      </c>
      <c r="M989" t="s">
        <v>26</v>
      </c>
      <c r="N989" t="s">
        <v>2254</v>
      </c>
      <c r="O989">
        <v>1</v>
      </c>
      <c r="P989">
        <v>0</v>
      </c>
      <c r="Q989">
        <v>0</v>
      </c>
      <c r="R989" s="1">
        <v>46206.63354166667</v>
      </c>
      <c r="S989" s="1">
        <v>46206.63354166667</v>
      </c>
    </row>
    <row r="990" spans="1:19" x14ac:dyDescent="0.25">
      <c r="A990">
        <v>2010111001</v>
      </c>
      <c r="B990" t="s">
        <v>28</v>
      </c>
      <c r="C990" t="s">
        <v>29</v>
      </c>
      <c r="D990" t="s">
        <v>2255</v>
      </c>
      <c r="E990" t="s">
        <v>2256</v>
      </c>
      <c r="F990" t="e">
        <f>--ds-btn-block-primary-text</f>
        <v>#NAME?</v>
      </c>
      <c r="G990" t="s">
        <v>37</v>
      </c>
      <c r="H990" t="s">
        <v>37</v>
      </c>
      <c r="I990" t="s">
        <v>32</v>
      </c>
      <c r="J990" t="s">
        <v>24</v>
      </c>
      <c r="K990" t="s">
        <v>2253</v>
      </c>
      <c r="L990" t="s">
        <v>25</v>
      </c>
      <c r="M990" t="s">
        <v>38</v>
      </c>
      <c r="N990" t="s">
        <v>2254</v>
      </c>
      <c r="O990">
        <v>1</v>
      </c>
      <c r="P990">
        <v>0</v>
      </c>
      <c r="Q990">
        <v>0</v>
      </c>
      <c r="R990" s="1">
        <v>46206.63354166667</v>
      </c>
      <c r="S990" s="1">
        <v>46206.63354166667</v>
      </c>
    </row>
    <row r="991" spans="1:19" x14ac:dyDescent="0.25">
      <c r="A991">
        <v>2010111002</v>
      </c>
      <c r="B991" t="s">
        <v>28</v>
      </c>
      <c r="C991" t="s">
        <v>29</v>
      </c>
      <c r="D991" t="s">
        <v>2257</v>
      </c>
      <c r="E991" t="s">
        <v>2258</v>
      </c>
      <c r="F991" t="e">
        <f>--ds-btn-block-primary-border</f>
        <v>#NAME?</v>
      </c>
      <c r="G991" t="s">
        <v>41</v>
      </c>
      <c r="H991" t="s">
        <v>41</v>
      </c>
      <c r="I991" t="s">
        <v>32</v>
      </c>
      <c r="J991" t="s">
        <v>24</v>
      </c>
      <c r="K991" t="s">
        <v>2253</v>
      </c>
      <c r="L991" t="s">
        <v>25</v>
      </c>
      <c r="M991" t="s">
        <v>42</v>
      </c>
      <c r="N991" t="s">
        <v>2254</v>
      </c>
      <c r="O991">
        <v>1</v>
      </c>
      <c r="P991">
        <v>0</v>
      </c>
      <c r="Q991">
        <v>0</v>
      </c>
      <c r="R991" s="1">
        <v>46206.63354166667</v>
      </c>
      <c r="S991" s="1">
        <v>46206.63354166667</v>
      </c>
    </row>
    <row r="992" spans="1:19" x14ac:dyDescent="0.25">
      <c r="A992">
        <v>2010111003</v>
      </c>
      <c r="B992" t="s">
        <v>28</v>
      </c>
      <c r="C992" t="s">
        <v>29</v>
      </c>
      <c r="D992" t="s">
        <v>2259</v>
      </c>
      <c r="E992" t="s">
        <v>2260</v>
      </c>
      <c r="F992" t="e">
        <f>--ds-btn-block-primary-hover-bg</f>
        <v>#NAME?</v>
      </c>
      <c r="G992" t="s">
        <v>45</v>
      </c>
      <c r="H992" t="s">
        <v>45</v>
      </c>
      <c r="I992" t="s">
        <v>32</v>
      </c>
      <c r="J992" t="s">
        <v>24</v>
      </c>
      <c r="K992" t="s">
        <v>2253</v>
      </c>
      <c r="L992" t="s">
        <v>25</v>
      </c>
      <c r="M992" t="s">
        <v>46</v>
      </c>
      <c r="N992" t="s">
        <v>2254</v>
      </c>
      <c r="O992">
        <v>1</v>
      </c>
      <c r="P992">
        <v>0</v>
      </c>
      <c r="Q992">
        <v>0</v>
      </c>
      <c r="R992" s="1">
        <v>46206.63354166667</v>
      </c>
      <c r="S992" s="1">
        <v>46206.63354166667</v>
      </c>
    </row>
    <row r="993" spans="1:19" x14ac:dyDescent="0.25">
      <c r="A993">
        <v>2010111004</v>
      </c>
      <c r="B993" t="s">
        <v>28</v>
      </c>
      <c r="C993" t="s">
        <v>29</v>
      </c>
      <c r="D993" t="s">
        <v>2261</v>
      </c>
      <c r="E993" t="s">
        <v>2262</v>
      </c>
      <c r="F993" t="e">
        <f>--ds-btn-block-primary-hover-text</f>
        <v>#NAME?</v>
      </c>
      <c r="G993" t="s">
        <v>37</v>
      </c>
      <c r="H993" t="s">
        <v>37</v>
      </c>
      <c r="I993" t="s">
        <v>32</v>
      </c>
      <c r="J993" t="s">
        <v>24</v>
      </c>
      <c r="K993" t="s">
        <v>2253</v>
      </c>
      <c r="L993" t="s">
        <v>25</v>
      </c>
      <c r="M993" t="s">
        <v>49</v>
      </c>
      <c r="N993" t="s">
        <v>2254</v>
      </c>
      <c r="O993">
        <v>1</v>
      </c>
      <c r="P993">
        <v>0</v>
      </c>
      <c r="Q993">
        <v>0</v>
      </c>
      <c r="R993" s="1">
        <v>46206.63354166667</v>
      </c>
      <c r="S993" s="1">
        <v>46206.63354166667</v>
      </c>
    </row>
    <row r="994" spans="1:19" x14ac:dyDescent="0.25">
      <c r="A994">
        <v>2010111005</v>
      </c>
      <c r="B994" t="s">
        <v>28</v>
      </c>
      <c r="C994" t="s">
        <v>29</v>
      </c>
      <c r="D994" t="s">
        <v>2263</v>
      </c>
      <c r="E994" t="s">
        <v>2264</v>
      </c>
      <c r="F994" t="e">
        <f>--ds-btn-block-primary-hover-border</f>
        <v>#NAME?</v>
      </c>
      <c r="G994" t="s">
        <v>52</v>
      </c>
      <c r="H994" t="s">
        <v>52</v>
      </c>
      <c r="I994" t="s">
        <v>32</v>
      </c>
      <c r="J994" t="s">
        <v>24</v>
      </c>
      <c r="K994" t="s">
        <v>2253</v>
      </c>
      <c r="L994" t="s">
        <v>25</v>
      </c>
      <c r="M994" t="s">
        <v>53</v>
      </c>
      <c r="N994" t="s">
        <v>2254</v>
      </c>
      <c r="O994">
        <v>1</v>
      </c>
      <c r="P994">
        <v>0</v>
      </c>
      <c r="Q994">
        <v>0</v>
      </c>
      <c r="R994" s="1">
        <v>46206.63354166667</v>
      </c>
      <c r="S994" s="1">
        <v>46206.63354166667</v>
      </c>
    </row>
    <row r="995" spans="1:19" x14ac:dyDescent="0.25">
      <c r="A995">
        <v>2010111006</v>
      </c>
      <c r="B995" t="s">
        <v>28</v>
      </c>
      <c r="C995" t="s">
        <v>29</v>
      </c>
      <c r="D995" t="s">
        <v>2265</v>
      </c>
      <c r="E995" t="s">
        <v>2266</v>
      </c>
      <c r="F995" t="e">
        <f>--ds-btn-block-primary-disabled-bg</f>
        <v>#NAME?</v>
      </c>
      <c r="G995" t="s">
        <v>56</v>
      </c>
      <c r="H995" t="s">
        <v>56</v>
      </c>
      <c r="I995" t="s">
        <v>32</v>
      </c>
      <c r="J995" t="s">
        <v>24</v>
      </c>
      <c r="K995" t="s">
        <v>2253</v>
      </c>
      <c r="L995" t="s">
        <v>25</v>
      </c>
      <c r="M995" t="s">
        <v>57</v>
      </c>
      <c r="N995" t="s">
        <v>2254</v>
      </c>
      <c r="O995">
        <v>1</v>
      </c>
      <c r="P995">
        <v>0</v>
      </c>
      <c r="Q995">
        <v>0</v>
      </c>
      <c r="R995" s="1">
        <v>46206.63354166667</v>
      </c>
      <c r="S995" s="1">
        <v>46206.63354166667</v>
      </c>
    </row>
    <row r="996" spans="1:19" x14ac:dyDescent="0.25">
      <c r="A996">
        <v>2010111007</v>
      </c>
      <c r="B996" t="s">
        <v>28</v>
      </c>
      <c r="C996" t="s">
        <v>29</v>
      </c>
      <c r="D996" t="s">
        <v>2267</v>
      </c>
      <c r="E996" t="s">
        <v>2268</v>
      </c>
      <c r="F996" t="e">
        <f>--ds-btn-block-primary-disabled-text</f>
        <v>#NAME?</v>
      </c>
      <c r="G996" t="s">
        <v>60</v>
      </c>
      <c r="H996" t="s">
        <v>60</v>
      </c>
      <c r="I996" t="s">
        <v>32</v>
      </c>
      <c r="J996" t="s">
        <v>24</v>
      </c>
      <c r="K996" t="s">
        <v>2253</v>
      </c>
      <c r="L996" t="s">
        <v>25</v>
      </c>
      <c r="M996" t="s">
        <v>61</v>
      </c>
      <c r="N996" t="s">
        <v>2254</v>
      </c>
      <c r="O996">
        <v>1</v>
      </c>
      <c r="P996">
        <v>0</v>
      </c>
      <c r="Q996">
        <v>0</v>
      </c>
      <c r="R996" s="1">
        <v>46206.63354166667</v>
      </c>
      <c r="S996" s="1">
        <v>46206.63354166667</v>
      </c>
    </row>
    <row r="997" spans="1:19" x14ac:dyDescent="0.25">
      <c r="A997">
        <v>2010111008</v>
      </c>
      <c r="B997" t="s">
        <v>28</v>
      </c>
      <c r="C997" t="s">
        <v>29</v>
      </c>
      <c r="D997" t="s">
        <v>2269</v>
      </c>
      <c r="E997" t="s">
        <v>2270</v>
      </c>
      <c r="F997" t="e">
        <f>--ds-btn-block-primary-disabled-border</f>
        <v>#NAME?</v>
      </c>
      <c r="G997" t="s">
        <v>64</v>
      </c>
      <c r="H997" t="s">
        <v>64</v>
      </c>
      <c r="I997" t="s">
        <v>32</v>
      </c>
      <c r="J997" t="s">
        <v>24</v>
      </c>
      <c r="K997" t="s">
        <v>2253</v>
      </c>
      <c r="L997" t="s">
        <v>25</v>
      </c>
      <c r="M997" t="s">
        <v>65</v>
      </c>
      <c r="N997" t="s">
        <v>2254</v>
      </c>
      <c r="O997">
        <v>1</v>
      </c>
      <c r="P997">
        <v>0</v>
      </c>
      <c r="Q997">
        <v>0</v>
      </c>
      <c r="R997" s="1">
        <v>46206.63354166667</v>
      </c>
      <c r="S997" s="1">
        <v>46206.63354166667</v>
      </c>
    </row>
    <row r="998" spans="1:19" x14ac:dyDescent="0.25">
      <c r="A998">
        <v>2010111009</v>
      </c>
      <c r="B998" t="s">
        <v>28</v>
      </c>
      <c r="C998" t="s">
        <v>29</v>
      </c>
      <c r="D998" t="s">
        <v>2271</v>
      </c>
      <c r="E998" t="s">
        <v>2272</v>
      </c>
      <c r="F998" t="e">
        <f>--ds-btn-block-primary-shadow</f>
        <v>#NAME?</v>
      </c>
      <c r="G998" t="s">
        <v>68</v>
      </c>
      <c r="H998" t="s">
        <v>68</v>
      </c>
      <c r="I998" t="s">
        <v>32</v>
      </c>
      <c r="J998" t="s">
        <v>69</v>
      </c>
      <c r="K998" t="s">
        <v>2253</v>
      </c>
      <c r="L998" t="s">
        <v>25</v>
      </c>
      <c r="M998" t="s">
        <v>70</v>
      </c>
      <c r="N998" t="s">
        <v>2254</v>
      </c>
      <c r="O998">
        <v>1</v>
      </c>
      <c r="P998">
        <v>0</v>
      </c>
      <c r="Q998">
        <v>0</v>
      </c>
      <c r="R998" s="1">
        <v>46206.63354166667</v>
      </c>
      <c r="S998" s="1">
        <v>46206.63354166667</v>
      </c>
    </row>
    <row r="999" spans="1:19" x14ac:dyDescent="0.25">
      <c r="A999">
        <v>2010111010</v>
      </c>
      <c r="B999" t="s">
        <v>28</v>
      </c>
      <c r="C999" t="s">
        <v>29</v>
      </c>
      <c r="D999" t="s">
        <v>2273</v>
      </c>
      <c r="E999" t="s">
        <v>2274</v>
      </c>
      <c r="F999" t="e">
        <f>--ds-btn-block-primary-radius</f>
        <v>#NAME?</v>
      </c>
      <c r="G999" t="s">
        <v>73</v>
      </c>
      <c r="H999" t="s">
        <v>73</v>
      </c>
      <c r="I999" t="s">
        <v>32</v>
      </c>
      <c r="J999" t="s">
        <v>69</v>
      </c>
      <c r="K999" t="s">
        <v>2253</v>
      </c>
      <c r="L999" t="s">
        <v>25</v>
      </c>
      <c r="M999" t="s">
        <v>74</v>
      </c>
      <c r="N999" t="s">
        <v>2254</v>
      </c>
      <c r="O999">
        <v>1</v>
      </c>
      <c r="P999">
        <v>0</v>
      </c>
      <c r="Q999">
        <v>0</v>
      </c>
      <c r="R999" s="1">
        <v>46206.63354166667</v>
      </c>
      <c r="S999" s="1">
        <v>46206.63354166667</v>
      </c>
    </row>
    <row r="1000" spans="1:19" x14ac:dyDescent="0.25">
      <c r="A1000">
        <v>2010111011</v>
      </c>
      <c r="B1000" t="s">
        <v>28</v>
      </c>
      <c r="C1000" t="s">
        <v>29</v>
      </c>
      <c r="D1000" t="s">
        <v>2275</v>
      </c>
      <c r="E1000" t="s">
        <v>2276</v>
      </c>
      <c r="F1000" t="e">
        <f>--ds-btn-block-primary-padding-x</f>
        <v>#NAME?</v>
      </c>
      <c r="G1000" t="s">
        <v>77</v>
      </c>
      <c r="H1000" t="s">
        <v>77</v>
      </c>
      <c r="I1000" t="s">
        <v>32</v>
      </c>
      <c r="J1000" t="s">
        <v>78</v>
      </c>
      <c r="K1000" t="s">
        <v>2253</v>
      </c>
      <c r="L1000" t="s">
        <v>25</v>
      </c>
      <c r="M1000" t="s">
        <v>79</v>
      </c>
      <c r="N1000" t="s">
        <v>2254</v>
      </c>
      <c r="O1000">
        <v>1</v>
      </c>
      <c r="P1000">
        <v>0</v>
      </c>
      <c r="Q1000">
        <v>0</v>
      </c>
      <c r="R1000" s="1">
        <v>46206.63354166667</v>
      </c>
      <c r="S1000" s="1">
        <v>46206.63354166667</v>
      </c>
    </row>
    <row r="1001" spans="1:19" x14ac:dyDescent="0.25">
      <c r="A1001">
        <v>2010111012</v>
      </c>
      <c r="B1001" t="s">
        <v>28</v>
      </c>
      <c r="C1001" t="s">
        <v>29</v>
      </c>
      <c r="D1001" t="s">
        <v>2277</v>
      </c>
      <c r="E1001" t="s">
        <v>2278</v>
      </c>
      <c r="F1001" t="e">
        <f>--ds-btn-block-primary-padding-y</f>
        <v>#NAME?</v>
      </c>
      <c r="G1001" t="s">
        <v>82</v>
      </c>
      <c r="H1001" t="s">
        <v>82</v>
      </c>
      <c r="I1001" t="s">
        <v>32</v>
      </c>
      <c r="J1001" t="s">
        <v>78</v>
      </c>
      <c r="K1001" t="s">
        <v>2253</v>
      </c>
      <c r="L1001" t="s">
        <v>25</v>
      </c>
      <c r="M1001" t="s">
        <v>83</v>
      </c>
      <c r="N1001" t="s">
        <v>2254</v>
      </c>
      <c r="O1001">
        <v>1</v>
      </c>
      <c r="P1001">
        <v>0</v>
      </c>
      <c r="Q1001">
        <v>0</v>
      </c>
      <c r="R1001" s="1">
        <v>46206.63354166667</v>
      </c>
      <c r="S1001" s="1">
        <v>46206.63354166667</v>
      </c>
    </row>
    <row r="1002" spans="1:19" x14ac:dyDescent="0.25">
      <c r="A1002">
        <v>2010111013</v>
      </c>
      <c r="B1002" t="s">
        <v>28</v>
      </c>
      <c r="C1002" t="s">
        <v>29</v>
      </c>
      <c r="D1002" t="s">
        <v>2279</v>
      </c>
      <c r="E1002" t="s">
        <v>2280</v>
      </c>
      <c r="F1002" t="e">
        <f>--ds-btn-block-primary-gap</f>
        <v>#NAME?</v>
      </c>
      <c r="G1002" t="s">
        <v>86</v>
      </c>
      <c r="H1002" t="s">
        <v>86</v>
      </c>
      <c r="I1002" t="s">
        <v>32</v>
      </c>
      <c r="J1002" t="s">
        <v>78</v>
      </c>
      <c r="K1002" t="s">
        <v>2253</v>
      </c>
      <c r="L1002" t="s">
        <v>25</v>
      </c>
      <c r="M1002" t="s">
        <v>87</v>
      </c>
      <c r="N1002" t="s">
        <v>2254</v>
      </c>
      <c r="O1002">
        <v>1</v>
      </c>
      <c r="P1002">
        <v>0</v>
      </c>
      <c r="Q1002">
        <v>0</v>
      </c>
      <c r="R1002" s="1">
        <v>46206.63354166667</v>
      </c>
      <c r="S1002" s="1">
        <v>46206.63354166667</v>
      </c>
    </row>
    <row r="1003" spans="1:19" x14ac:dyDescent="0.25">
      <c r="A1003">
        <v>2010111014</v>
      </c>
      <c r="B1003" t="s">
        <v>28</v>
      </c>
      <c r="C1003" t="s">
        <v>29</v>
      </c>
      <c r="D1003" t="s">
        <v>2281</v>
      </c>
      <c r="E1003" t="s">
        <v>2282</v>
      </c>
      <c r="F1003" t="e">
        <f>--ds-btn-block-primary-focus-ring</f>
        <v>#NAME?</v>
      </c>
      <c r="G1003" t="s">
        <v>90</v>
      </c>
      <c r="H1003" t="s">
        <v>90</v>
      </c>
      <c r="I1003" t="s">
        <v>32</v>
      </c>
      <c r="J1003" t="s">
        <v>69</v>
      </c>
      <c r="K1003" t="s">
        <v>2253</v>
      </c>
      <c r="L1003" t="s">
        <v>25</v>
      </c>
      <c r="M1003" t="s">
        <v>91</v>
      </c>
      <c r="N1003" t="s">
        <v>2254</v>
      </c>
      <c r="O1003">
        <v>1</v>
      </c>
      <c r="P1003">
        <v>0</v>
      </c>
      <c r="Q1003">
        <v>0</v>
      </c>
      <c r="R1003" s="1">
        <v>46206.63354166667</v>
      </c>
      <c r="S1003" s="1">
        <v>46206.63354166667</v>
      </c>
    </row>
    <row r="1004" spans="1:19" x14ac:dyDescent="0.25">
      <c r="A1004">
        <v>2010111015</v>
      </c>
      <c r="B1004" t="s">
        <v>28</v>
      </c>
      <c r="C1004" t="s">
        <v>29</v>
      </c>
      <c r="D1004" t="s">
        <v>2283</v>
      </c>
      <c r="E1004" t="s">
        <v>2284</v>
      </c>
      <c r="F1004" t="e">
        <f>--ds-btn-block-primary-outline</f>
        <v>#NAME?</v>
      </c>
      <c r="G1004" t="s">
        <v>94</v>
      </c>
      <c r="H1004" t="s">
        <v>94</v>
      </c>
      <c r="I1004" t="s">
        <v>32</v>
      </c>
      <c r="J1004" t="s">
        <v>69</v>
      </c>
      <c r="K1004" t="s">
        <v>2253</v>
      </c>
      <c r="L1004" t="s">
        <v>25</v>
      </c>
      <c r="M1004" t="s">
        <v>95</v>
      </c>
      <c r="N1004" t="s">
        <v>2254</v>
      </c>
      <c r="O1004">
        <v>1</v>
      </c>
      <c r="P1004">
        <v>0</v>
      </c>
      <c r="Q1004">
        <v>0</v>
      </c>
      <c r="R1004" s="1">
        <v>46206.63354166667</v>
      </c>
      <c r="S1004" s="1">
        <v>46206.63354166667</v>
      </c>
    </row>
    <row r="1005" spans="1:19" x14ac:dyDescent="0.25">
      <c r="A1005">
        <v>2010111016</v>
      </c>
      <c r="B1005" t="s">
        <v>28</v>
      </c>
      <c r="C1005" t="s">
        <v>29</v>
      </c>
      <c r="D1005" t="s">
        <v>2285</v>
      </c>
      <c r="E1005" t="s">
        <v>2286</v>
      </c>
      <c r="F1005" t="e">
        <f>--ds-btn-block-primary-transition</f>
        <v>#NAME?</v>
      </c>
      <c r="G1005" t="s">
        <v>98</v>
      </c>
      <c r="H1005" t="s">
        <v>98</v>
      </c>
      <c r="I1005" t="s">
        <v>32</v>
      </c>
      <c r="J1005" t="s">
        <v>69</v>
      </c>
      <c r="K1005" t="s">
        <v>2253</v>
      </c>
      <c r="L1005" t="s">
        <v>25</v>
      </c>
      <c r="M1005" t="s">
        <v>99</v>
      </c>
      <c r="N1005" t="s">
        <v>2254</v>
      </c>
      <c r="O1005">
        <v>1</v>
      </c>
      <c r="P1005">
        <v>0</v>
      </c>
      <c r="Q1005">
        <v>0</v>
      </c>
      <c r="R1005" s="1">
        <v>46206.63354166667</v>
      </c>
      <c r="S1005" s="1">
        <v>46206.63354166667</v>
      </c>
    </row>
    <row r="1006" spans="1:19" x14ac:dyDescent="0.25">
      <c r="A1006">
        <v>2010111017</v>
      </c>
      <c r="B1006" t="s">
        <v>28</v>
      </c>
      <c r="C1006" t="s">
        <v>29</v>
      </c>
      <c r="D1006" t="s">
        <v>2287</v>
      </c>
      <c r="E1006" t="s">
        <v>2288</v>
      </c>
      <c r="F1006" t="e">
        <f>--ds-btn-block-primary-icon-color</f>
        <v>#NAME?</v>
      </c>
      <c r="G1006" t="s">
        <v>37</v>
      </c>
      <c r="H1006" t="s">
        <v>37</v>
      </c>
      <c r="I1006" t="s">
        <v>32</v>
      </c>
      <c r="J1006" t="s">
        <v>24</v>
      </c>
      <c r="K1006" t="s">
        <v>2253</v>
      </c>
      <c r="L1006" t="s">
        <v>25</v>
      </c>
      <c r="M1006" t="s">
        <v>102</v>
      </c>
      <c r="N1006" t="s">
        <v>2254</v>
      </c>
      <c r="O1006">
        <v>1</v>
      </c>
      <c r="P1006">
        <v>0</v>
      </c>
      <c r="Q1006">
        <v>0</v>
      </c>
      <c r="R1006" s="1">
        <v>46206.63354166667</v>
      </c>
      <c r="S1006" s="1">
        <v>46206.63354166667</v>
      </c>
    </row>
    <row r="1007" spans="1:19" x14ac:dyDescent="0.25">
      <c r="A1007">
        <v>2010111018</v>
      </c>
      <c r="B1007" t="s">
        <v>28</v>
      </c>
      <c r="C1007" t="s">
        <v>29</v>
      </c>
      <c r="D1007" t="s">
        <v>2289</v>
      </c>
      <c r="E1007" t="s">
        <v>2290</v>
      </c>
      <c r="F1007" t="e">
        <f>--ds-btn-block-primary-icon-size</f>
        <v>#NAME?</v>
      </c>
      <c r="G1007" t="s">
        <v>105</v>
      </c>
      <c r="H1007" t="s">
        <v>105</v>
      </c>
      <c r="I1007" t="s">
        <v>32</v>
      </c>
      <c r="J1007" t="s">
        <v>78</v>
      </c>
      <c r="K1007" t="s">
        <v>2253</v>
      </c>
      <c r="L1007" t="s">
        <v>25</v>
      </c>
      <c r="M1007" t="s">
        <v>106</v>
      </c>
      <c r="N1007" t="s">
        <v>2254</v>
      </c>
      <c r="O1007">
        <v>1</v>
      </c>
      <c r="P1007">
        <v>0</v>
      </c>
      <c r="Q1007">
        <v>0</v>
      </c>
      <c r="R1007" s="1">
        <v>46206.63354166667</v>
      </c>
      <c r="S1007" s="1">
        <v>46206.63354166667</v>
      </c>
    </row>
    <row r="1008" spans="1:19" x14ac:dyDescent="0.25">
      <c r="A1008">
        <v>2010111019</v>
      </c>
      <c r="B1008" t="s">
        <v>28</v>
      </c>
      <c r="C1008" t="s">
        <v>29</v>
      </c>
      <c r="D1008" t="s">
        <v>2291</v>
      </c>
      <c r="E1008" t="s">
        <v>2292</v>
      </c>
      <c r="F1008" t="e">
        <f>--ds-btn-block-primary-line-height</f>
        <v>#NAME?</v>
      </c>
      <c r="G1008">
        <v>1.2</v>
      </c>
      <c r="H1008">
        <v>1.2</v>
      </c>
      <c r="I1008" t="s">
        <v>32</v>
      </c>
      <c r="J1008" t="s">
        <v>78</v>
      </c>
      <c r="K1008" t="s">
        <v>2253</v>
      </c>
      <c r="L1008" t="s">
        <v>25</v>
      </c>
      <c r="M1008" t="s">
        <v>109</v>
      </c>
      <c r="N1008" t="s">
        <v>2254</v>
      </c>
      <c r="O1008">
        <v>1</v>
      </c>
      <c r="P1008">
        <v>0</v>
      </c>
      <c r="Q1008">
        <v>0</v>
      </c>
      <c r="R1008" s="1">
        <v>46206.63354166667</v>
      </c>
      <c r="S1008" s="1">
        <v>46206.63354166667</v>
      </c>
    </row>
    <row r="1009" spans="1:19" x14ac:dyDescent="0.25">
      <c r="A1009">
        <v>2010111100</v>
      </c>
      <c r="B1009" t="s">
        <v>28</v>
      </c>
      <c r="C1009" t="s">
        <v>29</v>
      </c>
      <c r="D1009" t="s">
        <v>2293</v>
      </c>
      <c r="E1009" t="s">
        <v>2294</v>
      </c>
      <c r="F1009" t="e">
        <f>--ds-btn-block-secondary-bg</f>
        <v>#NAME?</v>
      </c>
      <c r="G1009" t="s">
        <v>112</v>
      </c>
      <c r="H1009" t="s">
        <v>112</v>
      </c>
      <c r="I1009" t="s">
        <v>32</v>
      </c>
      <c r="J1009" t="s">
        <v>24</v>
      </c>
      <c r="K1009" t="s">
        <v>2253</v>
      </c>
      <c r="L1009" t="s">
        <v>113</v>
      </c>
      <c r="M1009" t="s">
        <v>26</v>
      </c>
      <c r="N1009" t="s">
        <v>2295</v>
      </c>
      <c r="O1009">
        <v>1</v>
      </c>
      <c r="P1009">
        <v>0</v>
      </c>
      <c r="Q1009">
        <v>0</v>
      </c>
      <c r="R1009" s="1">
        <v>46206.634641203702</v>
      </c>
      <c r="S1009" s="1">
        <v>46206.634641203702</v>
      </c>
    </row>
    <row r="1010" spans="1:19" x14ac:dyDescent="0.25">
      <c r="A1010">
        <v>2010111101</v>
      </c>
      <c r="B1010" t="s">
        <v>28</v>
      </c>
      <c r="C1010" t="s">
        <v>29</v>
      </c>
      <c r="D1010" t="s">
        <v>2296</v>
      </c>
      <c r="E1010" t="s">
        <v>2297</v>
      </c>
      <c r="F1010" t="e">
        <f>--ds-btn-block-secondary-text</f>
        <v>#NAME?</v>
      </c>
      <c r="G1010" t="s">
        <v>117</v>
      </c>
      <c r="H1010" t="s">
        <v>117</v>
      </c>
      <c r="I1010" t="s">
        <v>32</v>
      </c>
      <c r="J1010" t="s">
        <v>24</v>
      </c>
      <c r="K1010" t="s">
        <v>2253</v>
      </c>
      <c r="L1010" t="s">
        <v>113</v>
      </c>
      <c r="M1010" t="s">
        <v>38</v>
      </c>
      <c r="N1010" t="s">
        <v>2295</v>
      </c>
      <c r="O1010">
        <v>1</v>
      </c>
      <c r="P1010">
        <v>0</v>
      </c>
      <c r="Q1010">
        <v>0</v>
      </c>
      <c r="R1010" s="1">
        <v>46206.634641203702</v>
      </c>
      <c r="S1010" s="1">
        <v>46206.634641203702</v>
      </c>
    </row>
    <row r="1011" spans="1:19" x14ac:dyDescent="0.25">
      <c r="A1011">
        <v>2010111102</v>
      </c>
      <c r="B1011" t="s">
        <v>28</v>
      </c>
      <c r="C1011" t="s">
        <v>29</v>
      </c>
      <c r="D1011" t="s">
        <v>2298</v>
      </c>
      <c r="E1011" t="s">
        <v>2299</v>
      </c>
      <c r="F1011" t="e">
        <f>--ds-btn-block-secondary-border</f>
        <v>#NAME?</v>
      </c>
      <c r="G1011" t="s">
        <v>120</v>
      </c>
      <c r="H1011" t="s">
        <v>120</v>
      </c>
      <c r="I1011" t="s">
        <v>32</v>
      </c>
      <c r="J1011" t="s">
        <v>24</v>
      </c>
      <c r="K1011" t="s">
        <v>2253</v>
      </c>
      <c r="L1011" t="s">
        <v>113</v>
      </c>
      <c r="M1011" t="s">
        <v>42</v>
      </c>
      <c r="N1011" t="s">
        <v>2295</v>
      </c>
      <c r="O1011">
        <v>1</v>
      </c>
      <c r="P1011">
        <v>0</v>
      </c>
      <c r="Q1011">
        <v>0</v>
      </c>
      <c r="R1011" s="1">
        <v>46206.634641203702</v>
      </c>
      <c r="S1011" s="1">
        <v>46206.634641203702</v>
      </c>
    </row>
    <row r="1012" spans="1:19" x14ac:dyDescent="0.25">
      <c r="A1012">
        <v>2010111103</v>
      </c>
      <c r="B1012" t="s">
        <v>28</v>
      </c>
      <c r="C1012" t="s">
        <v>29</v>
      </c>
      <c r="D1012" t="s">
        <v>2300</v>
      </c>
      <c r="E1012" t="s">
        <v>2301</v>
      </c>
      <c r="F1012" t="e">
        <f>--ds-btn-block-secondary-hover-bg</f>
        <v>#NAME?</v>
      </c>
      <c r="G1012" t="s">
        <v>123</v>
      </c>
      <c r="H1012" t="s">
        <v>123</v>
      </c>
      <c r="I1012" t="s">
        <v>32</v>
      </c>
      <c r="J1012" t="s">
        <v>24</v>
      </c>
      <c r="K1012" t="s">
        <v>2253</v>
      </c>
      <c r="L1012" t="s">
        <v>113</v>
      </c>
      <c r="M1012" t="s">
        <v>46</v>
      </c>
      <c r="N1012" t="s">
        <v>2295</v>
      </c>
      <c r="O1012">
        <v>1</v>
      </c>
      <c r="P1012">
        <v>0</v>
      </c>
      <c r="Q1012">
        <v>0</v>
      </c>
      <c r="R1012" s="1">
        <v>46206.634641203702</v>
      </c>
      <c r="S1012" s="1">
        <v>46206.634641203702</v>
      </c>
    </row>
    <row r="1013" spans="1:19" x14ac:dyDescent="0.25">
      <c r="A1013">
        <v>2010111104</v>
      </c>
      <c r="B1013" t="s">
        <v>28</v>
      </c>
      <c r="C1013" t="s">
        <v>29</v>
      </c>
      <c r="D1013" t="s">
        <v>2302</v>
      </c>
      <c r="E1013" t="s">
        <v>2303</v>
      </c>
      <c r="F1013" t="e">
        <f>--ds-btn-block-secondary-hover-text</f>
        <v>#NAME?</v>
      </c>
      <c r="G1013" t="s">
        <v>117</v>
      </c>
      <c r="H1013" t="s">
        <v>117</v>
      </c>
      <c r="I1013" t="s">
        <v>32</v>
      </c>
      <c r="J1013" t="s">
        <v>24</v>
      </c>
      <c r="K1013" t="s">
        <v>2253</v>
      </c>
      <c r="L1013" t="s">
        <v>113</v>
      </c>
      <c r="M1013" t="s">
        <v>49</v>
      </c>
      <c r="N1013" t="s">
        <v>2295</v>
      </c>
      <c r="O1013">
        <v>1</v>
      </c>
      <c r="P1013">
        <v>0</v>
      </c>
      <c r="Q1013">
        <v>0</v>
      </c>
      <c r="R1013" s="1">
        <v>46206.634641203702</v>
      </c>
      <c r="S1013" s="1">
        <v>46206.634641203702</v>
      </c>
    </row>
    <row r="1014" spans="1:19" x14ac:dyDescent="0.25">
      <c r="A1014">
        <v>2010111105</v>
      </c>
      <c r="B1014" t="s">
        <v>28</v>
      </c>
      <c r="C1014" t="s">
        <v>29</v>
      </c>
      <c r="D1014" t="s">
        <v>2304</v>
      </c>
      <c r="E1014" t="s">
        <v>2305</v>
      </c>
      <c r="F1014" t="e">
        <f>--ds-btn-block-secondary-hover-border</f>
        <v>#NAME?</v>
      </c>
      <c r="G1014" t="s">
        <v>2306</v>
      </c>
      <c r="H1014" t="s">
        <v>2306</v>
      </c>
      <c r="I1014" t="s">
        <v>32</v>
      </c>
      <c r="J1014" t="s">
        <v>24</v>
      </c>
      <c r="K1014" t="s">
        <v>2253</v>
      </c>
      <c r="L1014" t="s">
        <v>113</v>
      </c>
      <c r="M1014" t="s">
        <v>53</v>
      </c>
      <c r="N1014" t="s">
        <v>2295</v>
      </c>
      <c r="O1014">
        <v>1</v>
      </c>
      <c r="P1014">
        <v>0</v>
      </c>
      <c r="Q1014">
        <v>0</v>
      </c>
      <c r="R1014" s="1">
        <v>46206.634641203702</v>
      </c>
      <c r="S1014" s="1">
        <v>46206.634641203702</v>
      </c>
    </row>
    <row r="1015" spans="1:19" x14ac:dyDescent="0.25">
      <c r="A1015">
        <v>2010111106</v>
      </c>
      <c r="B1015" t="s">
        <v>28</v>
      </c>
      <c r="C1015" t="s">
        <v>29</v>
      </c>
      <c r="D1015" t="s">
        <v>2307</v>
      </c>
      <c r="E1015" t="s">
        <v>2308</v>
      </c>
      <c r="F1015" t="e">
        <f>--ds-btn-block-secondary-disabled-bg</f>
        <v>#NAME?</v>
      </c>
      <c r="G1015" t="s">
        <v>1427</v>
      </c>
      <c r="H1015" t="s">
        <v>1427</v>
      </c>
      <c r="I1015" t="s">
        <v>32</v>
      </c>
      <c r="J1015" t="s">
        <v>24</v>
      </c>
      <c r="K1015" t="s">
        <v>2253</v>
      </c>
      <c r="L1015" t="s">
        <v>113</v>
      </c>
      <c r="M1015" t="s">
        <v>57</v>
      </c>
      <c r="N1015" t="s">
        <v>2295</v>
      </c>
      <c r="O1015">
        <v>1</v>
      </c>
      <c r="P1015">
        <v>0</v>
      </c>
      <c r="Q1015">
        <v>0</v>
      </c>
      <c r="R1015" s="1">
        <v>46206.634641203702</v>
      </c>
      <c r="S1015" s="1">
        <v>46206.634641203702</v>
      </c>
    </row>
    <row r="1016" spans="1:19" x14ac:dyDescent="0.25">
      <c r="A1016">
        <v>2010111107</v>
      </c>
      <c r="B1016" t="s">
        <v>28</v>
      </c>
      <c r="C1016" t="s">
        <v>29</v>
      </c>
      <c r="D1016" t="s">
        <v>2309</v>
      </c>
      <c r="E1016" t="s">
        <v>2310</v>
      </c>
      <c r="F1016" t="e">
        <f>--ds-btn-block-secondary-disabled-text</f>
        <v>#NAME?</v>
      </c>
      <c r="G1016" t="s">
        <v>60</v>
      </c>
      <c r="H1016" t="s">
        <v>60</v>
      </c>
      <c r="I1016" t="s">
        <v>32</v>
      </c>
      <c r="J1016" t="s">
        <v>24</v>
      </c>
      <c r="K1016" t="s">
        <v>2253</v>
      </c>
      <c r="L1016" t="s">
        <v>113</v>
      </c>
      <c r="M1016" t="s">
        <v>61</v>
      </c>
      <c r="N1016" t="s">
        <v>2295</v>
      </c>
      <c r="O1016">
        <v>1</v>
      </c>
      <c r="P1016">
        <v>0</v>
      </c>
      <c r="Q1016">
        <v>0</v>
      </c>
      <c r="R1016" s="1">
        <v>46206.634641203702</v>
      </c>
      <c r="S1016" s="1">
        <v>46206.634641203702</v>
      </c>
    </row>
    <row r="1017" spans="1:19" x14ac:dyDescent="0.25">
      <c r="A1017">
        <v>2010111108</v>
      </c>
      <c r="B1017" t="s">
        <v>28</v>
      </c>
      <c r="C1017" t="s">
        <v>29</v>
      </c>
      <c r="D1017" t="s">
        <v>2311</v>
      </c>
      <c r="E1017" t="s">
        <v>2312</v>
      </c>
      <c r="F1017" t="e">
        <f>--ds-btn-block-secondary-disabled-border</f>
        <v>#NAME?</v>
      </c>
      <c r="G1017" t="s">
        <v>2313</v>
      </c>
      <c r="H1017" t="s">
        <v>2313</v>
      </c>
      <c r="I1017" t="s">
        <v>32</v>
      </c>
      <c r="J1017" t="s">
        <v>24</v>
      </c>
      <c r="K1017" t="s">
        <v>2253</v>
      </c>
      <c r="L1017" t="s">
        <v>113</v>
      </c>
      <c r="M1017" t="s">
        <v>65</v>
      </c>
      <c r="N1017" t="s">
        <v>2295</v>
      </c>
      <c r="O1017">
        <v>1</v>
      </c>
      <c r="P1017">
        <v>0</v>
      </c>
      <c r="Q1017">
        <v>0</v>
      </c>
      <c r="R1017" s="1">
        <v>46206.634641203702</v>
      </c>
      <c r="S1017" s="1">
        <v>46206.634641203702</v>
      </c>
    </row>
    <row r="1018" spans="1:19" x14ac:dyDescent="0.25">
      <c r="A1018">
        <v>2010111109</v>
      </c>
      <c r="B1018" t="s">
        <v>28</v>
      </c>
      <c r="C1018" t="s">
        <v>29</v>
      </c>
      <c r="D1018" t="s">
        <v>2314</v>
      </c>
      <c r="E1018" t="s">
        <v>2315</v>
      </c>
      <c r="F1018" t="e">
        <f>--ds-btn-block-secondary-shadow</f>
        <v>#NAME?</v>
      </c>
      <c r="G1018" t="s">
        <v>68</v>
      </c>
      <c r="H1018" t="s">
        <v>68</v>
      </c>
      <c r="I1018" t="s">
        <v>32</v>
      </c>
      <c r="J1018" t="s">
        <v>69</v>
      </c>
      <c r="K1018" t="s">
        <v>2253</v>
      </c>
      <c r="L1018" t="s">
        <v>113</v>
      </c>
      <c r="M1018" t="s">
        <v>70</v>
      </c>
      <c r="N1018" t="s">
        <v>2295</v>
      </c>
      <c r="O1018">
        <v>1</v>
      </c>
      <c r="P1018">
        <v>0</v>
      </c>
      <c r="Q1018">
        <v>0</v>
      </c>
      <c r="R1018" s="1">
        <v>46206.634641203702</v>
      </c>
      <c r="S1018" s="1">
        <v>46206.634641203702</v>
      </c>
    </row>
    <row r="1019" spans="1:19" x14ac:dyDescent="0.25">
      <c r="A1019">
        <v>2010111110</v>
      </c>
      <c r="B1019" t="s">
        <v>28</v>
      </c>
      <c r="C1019" t="s">
        <v>29</v>
      </c>
      <c r="D1019" t="s">
        <v>2316</v>
      </c>
      <c r="E1019" t="s">
        <v>2317</v>
      </c>
      <c r="F1019" t="e">
        <f>--ds-btn-block-secondary-radius</f>
        <v>#NAME?</v>
      </c>
      <c r="G1019" t="s">
        <v>73</v>
      </c>
      <c r="H1019" t="s">
        <v>73</v>
      </c>
      <c r="I1019" t="s">
        <v>32</v>
      </c>
      <c r="J1019" t="s">
        <v>69</v>
      </c>
      <c r="K1019" t="s">
        <v>2253</v>
      </c>
      <c r="L1019" t="s">
        <v>113</v>
      </c>
      <c r="M1019" t="s">
        <v>74</v>
      </c>
      <c r="N1019" t="s">
        <v>2295</v>
      </c>
      <c r="O1019">
        <v>1</v>
      </c>
      <c r="P1019">
        <v>0</v>
      </c>
      <c r="Q1019">
        <v>0</v>
      </c>
      <c r="R1019" s="1">
        <v>46206.634641203702</v>
      </c>
      <c r="S1019" s="1">
        <v>46206.634641203702</v>
      </c>
    </row>
    <row r="1020" spans="1:19" x14ac:dyDescent="0.25">
      <c r="A1020">
        <v>2010111111</v>
      </c>
      <c r="B1020" t="s">
        <v>28</v>
      </c>
      <c r="C1020" t="s">
        <v>29</v>
      </c>
      <c r="D1020" t="s">
        <v>2318</v>
      </c>
      <c r="E1020" t="s">
        <v>2319</v>
      </c>
      <c r="F1020" t="e">
        <f>--ds-btn-block-secondary-padding-x</f>
        <v>#NAME?</v>
      </c>
      <c r="G1020" t="s">
        <v>77</v>
      </c>
      <c r="H1020" t="s">
        <v>77</v>
      </c>
      <c r="I1020" t="s">
        <v>32</v>
      </c>
      <c r="J1020" t="s">
        <v>78</v>
      </c>
      <c r="K1020" t="s">
        <v>2253</v>
      </c>
      <c r="L1020" t="s">
        <v>113</v>
      </c>
      <c r="M1020" t="s">
        <v>79</v>
      </c>
      <c r="N1020" t="s">
        <v>2295</v>
      </c>
      <c r="O1020">
        <v>1</v>
      </c>
      <c r="P1020">
        <v>0</v>
      </c>
      <c r="Q1020">
        <v>0</v>
      </c>
      <c r="R1020" s="1">
        <v>46206.634641203702</v>
      </c>
      <c r="S1020" s="1">
        <v>46206.634641203702</v>
      </c>
    </row>
    <row r="1021" spans="1:19" x14ac:dyDescent="0.25">
      <c r="A1021">
        <v>2010111112</v>
      </c>
      <c r="B1021" t="s">
        <v>28</v>
      </c>
      <c r="C1021" t="s">
        <v>29</v>
      </c>
      <c r="D1021" t="s">
        <v>2320</v>
      </c>
      <c r="E1021" t="s">
        <v>2321</v>
      </c>
      <c r="F1021" t="e">
        <f>--ds-btn-block-secondary-padding-y</f>
        <v>#NAME?</v>
      </c>
      <c r="G1021" t="s">
        <v>82</v>
      </c>
      <c r="H1021" t="s">
        <v>82</v>
      </c>
      <c r="I1021" t="s">
        <v>32</v>
      </c>
      <c r="J1021" t="s">
        <v>78</v>
      </c>
      <c r="K1021" t="s">
        <v>2253</v>
      </c>
      <c r="L1021" t="s">
        <v>113</v>
      </c>
      <c r="M1021" t="s">
        <v>83</v>
      </c>
      <c r="N1021" t="s">
        <v>2295</v>
      </c>
      <c r="O1021">
        <v>1</v>
      </c>
      <c r="P1021">
        <v>0</v>
      </c>
      <c r="Q1021">
        <v>0</v>
      </c>
      <c r="R1021" s="1">
        <v>46206.634641203702</v>
      </c>
      <c r="S1021" s="1">
        <v>46206.634641203702</v>
      </c>
    </row>
    <row r="1022" spans="1:19" x14ac:dyDescent="0.25">
      <c r="A1022">
        <v>2010111113</v>
      </c>
      <c r="B1022" t="s">
        <v>28</v>
      </c>
      <c r="C1022" t="s">
        <v>29</v>
      </c>
      <c r="D1022" t="s">
        <v>2322</v>
      </c>
      <c r="E1022" t="s">
        <v>2323</v>
      </c>
      <c r="F1022" t="e">
        <f>--ds-btn-block-secondary-gap</f>
        <v>#NAME?</v>
      </c>
      <c r="G1022" t="s">
        <v>86</v>
      </c>
      <c r="H1022" t="s">
        <v>86</v>
      </c>
      <c r="I1022" t="s">
        <v>32</v>
      </c>
      <c r="J1022" t="s">
        <v>78</v>
      </c>
      <c r="K1022" t="s">
        <v>2253</v>
      </c>
      <c r="L1022" t="s">
        <v>113</v>
      </c>
      <c r="M1022" t="s">
        <v>87</v>
      </c>
      <c r="N1022" t="s">
        <v>2295</v>
      </c>
      <c r="O1022">
        <v>1</v>
      </c>
      <c r="P1022">
        <v>0</v>
      </c>
      <c r="Q1022">
        <v>0</v>
      </c>
      <c r="R1022" s="1">
        <v>46206.634641203702</v>
      </c>
      <c r="S1022" s="1">
        <v>46206.634641203702</v>
      </c>
    </row>
    <row r="1023" spans="1:19" x14ac:dyDescent="0.25">
      <c r="A1023">
        <v>2010111114</v>
      </c>
      <c r="B1023" t="s">
        <v>28</v>
      </c>
      <c r="C1023" t="s">
        <v>29</v>
      </c>
      <c r="D1023" t="s">
        <v>2324</v>
      </c>
      <c r="E1023" t="s">
        <v>2325</v>
      </c>
      <c r="F1023" t="e">
        <f>--ds-btn-block-secondary-focus-ring</f>
        <v>#NAME?</v>
      </c>
      <c r="G1023" t="s">
        <v>1230</v>
      </c>
      <c r="H1023" t="s">
        <v>1230</v>
      </c>
      <c r="I1023" t="s">
        <v>32</v>
      </c>
      <c r="J1023" t="s">
        <v>69</v>
      </c>
      <c r="K1023" t="s">
        <v>2253</v>
      </c>
      <c r="L1023" t="s">
        <v>113</v>
      </c>
      <c r="M1023" t="s">
        <v>91</v>
      </c>
      <c r="N1023" t="s">
        <v>2295</v>
      </c>
      <c r="O1023">
        <v>1</v>
      </c>
      <c r="P1023">
        <v>0</v>
      </c>
      <c r="Q1023">
        <v>0</v>
      </c>
      <c r="R1023" s="1">
        <v>46206.634641203702</v>
      </c>
      <c r="S1023" s="1">
        <v>46206.634641203702</v>
      </c>
    </row>
    <row r="1024" spans="1:19" x14ac:dyDescent="0.25">
      <c r="A1024">
        <v>2010111115</v>
      </c>
      <c r="B1024" t="s">
        <v>28</v>
      </c>
      <c r="C1024" t="s">
        <v>29</v>
      </c>
      <c r="D1024" t="s">
        <v>2326</v>
      </c>
      <c r="E1024" t="s">
        <v>2327</v>
      </c>
      <c r="F1024" t="e">
        <f>--ds-btn-block-secondary-outline</f>
        <v>#NAME?</v>
      </c>
      <c r="G1024" t="s">
        <v>94</v>
      </c>
      <c r="H1024" t="s">
        <v>94</v>
      </c>
      <c r="I1024" t="s">
        <v>32</v>
      </c>
      <c r="J1024" t="s">
        <v>69</v>
      </c>
      <c r="K1024" t="s">
        <v>2253</v>
      </c>
      <c r="L1024" t="s">
        <v>113</v>
      </c>
      <c r="M1024" t="s">
        <v>95</v>
      </c>
      <c r="N1024" t="s">
        <v>2295</v>
      </c>
      <c r="O1024">
        <v>1</v>
      </c>
      <c r="P1024">
        <v>0</v>
      </c>
      <c r="Q1024">
        <v>0</v>
      </c>
      <c r="R1024" s="1">
        <v>46206.634641203702</v>
      </c>
      <c r="S1024" s="1">
        <v>46206.634641203702</v>
      </c>
    </row>
    <row r="1025" spans="1:19" x14ac:dyDescent="0.25">
      <c r="A1025">
        <v>2010111116</v>
      </c>
      <c r="B1025" t="s">
        <v>28</v>
      </c>
      <c r="C1025" t="s">
        <v>29</v>
      </c>
      <c r="D1025" t="s">
        <v>2328</v>
      </c>
      <c r="E1025" t="s">
        <v>2329</v>
      </c>
      <c r="F1025" t="e">
        <f>--ds-btn-block-secondary-transition</f>
        <v>#NAME?</v>
      </c>
      <c r="G1025" t="s">
        <v>98</v>
      </c>
      <c r="H1025" t="s">
        <v>98</v>
      </c>
      <c r="I1025" t="s">
        <v>32</v>
      </c>
      <c r="J1025" t="s">
        <v>69</v>
      </c>
      <c r="K1025" t="s">
        <v>2253</v>
      </c>
      <c r="L1025" t="s">
        <v>113</v>
      </c>
      <c r="M1025" t="s">
        <v>99</v>
      </c>
      <c r="N1025" t="s">
        <v>2295</v>
      </c>
      <c r="O1025">
        <v>1</v>
      </c>
      <c r="P1025">
        <v>0</v>
      </c>
      <c r="Q1025">
        <v>0</v>
      </c>
      <c r="R1025" s="1">
        <v>46206.634641203702</v>
      </c>
      <c r="S1025" s="1">
        <v>46206.634641203702</v>
      </c>
    </row>
    <row r="1026" spans="1:19" x14ac:dyDescent="0.25">
      <c r="A1026">
        <v>2010111117</v>
      </c>
      <c r="B1026" t="s">
        <v>28</v>
      </c>
      <c r="C1026" t="s">
        <v>29</v>
      </c>
      <c r="D1026" t="s">
        <v>2330</v>
      </c>
      <c r="E1026" t="s">
        <v>2331</v>
      </c>
      <c r="F1026" t="e">
        <f>--ds-btn-block-secondary-icon-color</f>
        <v>#NAME?</v>
      </c>
      <c r="G1026" t="s">
        <v>117</v>
      </c>
      <c r="H1026" t="s">
        <v>117</v>
      </c>
      <c r="I1026" t="s">
        <v>32</v>
      </c>
      <c r="J1026" t="s">
        <v>24</v>
      </c>
      <c r="K1026" t="s">
        <v>2253</v>
      </c>
      <c r="L1026" t="s">
        <v>113</v>
      </c>
      <c r="M1026" t="s">
        <v>102</v>
      </c>
      <c r="N1026" t="s">
        <v>2295</v>
      </c>
      <c r="O1026">
        <v>1</v>
      </c>
      <c r="P1026">
        <v>0</v>
      </c>
      <c r="Q1026">
        <v>0</v>
      </c>
      <c r="R1026" s="1">
        <v>46206.634641203702</v>
      </c>
      <c r="S1026" s="1">
        <v>46206.634641203702</v>
      </c>
    </row>
    <row r="1027" spans="1:19" x14ac:dyDescent="0.25">
      <c r="A1027">
        <v>2010111118</v>
      </c>
      <c r="B1027" t="s">
        <v>28</v>
      </c>
      <c r="C1027" t="s">
        <v>29</v>
      </c>
      <c r="D1027" t="s">
        <v>2332</v>
      </c>
      <c r="E1027" t="s">
        <v>2333</v>
      </c>
      <c r="F1027" t="e">
        <f>--ds-btn-block-secondary-icon-size</f>
        <v>#NAME?</v>
      </c>
      <c r="G1027" t="s">
        <v>105</v>
      </c>
      <c r="H1027" t="s">
        <v>105</v>
      </c>
      <c r="I1027" t="s">
        <v>32</v>
      </c>
      <c r="J1027" t="s">
        <v>78</v>
      </c>
      <c r="K1027" t="s">
        <v>2253</v>
      </c>
      <c r="L1027" t="s">
        <v>113</v>
      </c>
      <c r="M1027" t="s">
        <v>106</v>
      </c>
      <c r="N1027" t="s">
        <v>2295</v>
      </c>
      <c r="O1027">
        <v>1</v>
      </c>
      <c r="P1027">
        <v>0</v>
      </c>
      <c r="Q1027">
        <v>0</v>
      </c>
      <c r="R1027" s="1">
        <v>46206.634641203702</v>
      </c>
      <c r="S1027" s="1">
        <v>46206.634641203702</v>
      </c>
    </row>
    <row r="1028" spans="1:19" x14ac:dyDescent="0.25">
      <c r="A1028">
        <v>2010111119</v>
      </c>
      <c r="B1028" t="s">
        <v>28</v>
      </c>
      <c r="C1028" t="s">
        <v>29</v>
      </c>
      <c r="D1028" t="s">
        <v>2334</v>
      </c>
      <c r="E1028" t="s">
        <v>2335</v>
      </c>
      <c r="F1028" t="e">
        <f>--ds-btn-block-secondary-line-height</f>
        <v>#NAME?</v>
      </c>
      <c r="G1028">
        <v>1.2</v>
      </c>
      <c r="H1028">
        <v>1.2</v>
      </c>
      <c r="I1028" t="s">
        <v>32</v>
      </c>
      <c r="J1028" t="s">
        <v>78</v>
      </c>
      <c r="K1028" t="s">
        <v>2253</v>
      </c>
      <c r="L1028" t="s">
        <v>113</v>
      </c>
      <c r="M1028" t="s">
        <v>109</v>
      </c>
      <c r="N1028" t="s">
        <v>2295</v>
      </c>
      <c r="O1028">
        <v>1</v>
      </c>
      <c r="P1028">
        <v>0</v>
      </c>
      <c r="Q1028">
        <v>0</v>
      </c>
      <c r="R1028" s="1">
        <v>46206.634641203702</v>
      </c>
      <c r="S1028" s="1">
        <v>46206.634641203702</v>
      </c>
    </row>
    <row r="1029" spans="1:19" x14ac:dyDescent="0.25">
      <c r="A1029">
        <v>2010111200</v>
      </c>
      <c r="B1029" t="s">
        <v>28</v>
      </c>
      <c r="C1029" t="s">
        <v>29</v>
      </c>
      <c r="D1029" t="s">
        <v>2336</v>
      </c>
      <c r="E1029" t="s">
        <v>2337</v>
      </c>
      <c r="F1029" t="e">
        <f>--ds-btn-block-success-bg</f>
        <v>#NAME?</v>
      </c>
      <c r="G1029" t="s">
        <v>138</v>
      </c>
      <c r="H1029" t="s">
        <v>138</v>
      </c>
      <c r="I1029" t="s">
        <v>32</v>
      </c>
      <c r="J1029" t="s">
        <v>24</v>
      </c>
      <c r="K1029" t="s">
        <v>2253</v>
      </c>
      <c r="L1029" t="s">
        <v>139</v>
      </c>
      <c r="M1029" t="s">
        <v>26</v>
      </c>
      <c r="N1029" t="s">
        <v>2338</v>
      </c>
      <c r="O1029">
        <v>1</v>
      </c>
      <c r="P1029">
        <v>0</v>
      </c>
      <c r="Q1029">
        <v>0</v>
      </c>
      <c r="R1029" s="1">
        <v>46206.635081018518</v>
      </c>
      <c r="S1029" s="1">
        <v>46206.635081018518</v>
      </c>
    </row>
    <row r="1030" spans="1:19" x14ac:dyDescent="0.25">
      <c r="A1030">
        <v>2010111201</v>
      </c>
      <c r="B1030" t="s">
        <v>28</v>
      </c>
      <c r="C1030" t="s">
        <v>29</v>
      </c>
      <c r="D1030" t="s">
        <v>2339</v>
      </c>
      <c r="E1030" t="s">
        <v>2340</v>
      </c>
      <c r="F1030" t="e">
        <f>--ds-btn-block-success-text</f>
        <v>#NAME?</v>
      </c>
      <c r="G1030" t="s">
        <v>37</v>
      </c>
      <c r="H1030" t="s">
        <v>37</v>
      </c>
      <c r="I1030" t="s">
        <v>32</v>
      </c>
      <c r="J1030" t="s">
        <v>24</v>
      </c>
      <c r="K1030" t="s">
        <v>2253</v>
      </c>
      <c r="L1030" t="s">
        <v>139</v>
      </c>
      <c r="M1030" t="s">
        <v>38</v>
      </c>
      <c r="N1030" t="s">
        <v>2338</v>
      </c>
      <c r="O1030">
        <v>1</v>
      </c>
      <c r="P1030">
        <v>0</v>
      </c>
      <c r="Q1030">
        <v>0</v>
      </c>
      <c r="R1030" s="1">
        <v>46206.635081018518</v>
      </c>
      <c r="S1030" s="1">
        <v>46206.635081018518</v>
      </c>
    </row>
    <row r="1031" spans="1:19" x14ac:dyDescent="0.25">
      <c r="A1031">
        <v>2010111202</v>
      </c>
      <c r="B1031" t="s">
        <v>28</v>
      </c>
      <c r="C1031" t="s">
        <v>29</v>
      </c>
      <c r="D1031" t="s">
        <v>2341</v>
      </c>
      <c r="E1031" t="s">
        <v>2342</v>
      </c>
      <c r="F1031" t="e">
        <f>--ds-btn-block-success-border</f>
        <v>#NAME?</v>
      </c>
      <c r="G1031" t="s">
        <v>147</v>
      </c>
      <c r="H1031" t="s">
        <v>147</v>
      </c>
      <c r="I1031" t="s">
        <v>32</v>
      </c>
      <c r="J1031" t="s">
        <v>24</v>
      </c>
      <c r="K1031" t="s">
        <v>2253</v>
      </c>
      <c r="L1031" t="s">
        <v>139</v>
      </c>
      <c r="M1031" t="s">
        <v>42</v>
      </c>
      <c r="N1031" t="s">
        <v>2338</v>
      </c>
      <c r="O1031">
        <v>1</v>
      </c>
      <c r="P1031">
        <v>0</v>
      </c>
      <c r="Q1031">
        <v>0</v>
      </c>
      <c r="R1031" s="1">
        <v>46206.635081018518</v>
      </c>
      <c r="S1031" s="1">
        <v>46206.635081018518</v>
      </c>
    </row>
    <row r="1032" spans="1:19" x14ac:dyDescent="0.25">
      <c r="A1032">
        <v>2010111203</v>
      </c>
      <c r="B1032" t="s">
        <v>28</v>
      </c>
      <c r="C1032" t="s">
        <v>29</v>
      </c>
      <c r="D1032" t="s">
        <v>2343</v>
      </c>
      <c r="E1032" t="s">
        <v>2344</v>
      </c>
      <c r="F1032" t="e">
        <f>--ds-btn-block-success-hover-bg</f>
        <v>#NAME?</v>
      </c>
      <c r="G1032" t="s">
        <v>147</v>
      </c>
      <c r="H1032" t="s">
        <v>147</v>
      </c>
      <c r="I1032" t="s">
        <v>32</v>
      </c>
      <c r="J1032" t="s">
        <v>24</v>
      </c>
      <c r="K1032" t="s">
        <v>2253</v>
      </c>
      <c r="L1032" t="s">
        <v>139</v>
      </c>
      <c r="M1032" t="s">
        <v>46</v>
      </c>
      <c r="N1032" t="s">
        <v>2338</v>
      </c>
      <c r="O1032">
        <v>1</v>
      </c>
      <c r="P1032">
        <v>0</v>
      </c>
      <c r="Q1032">
        <v>0</v>
      </c>
      <c r="R1032" s="1">
        <v>46206.635081018518</v>
      </c>
      <c r="S1032" s="1">
        <v>46206.635081018518</v>
      </c>
    </row>
    <row r="1033" spans="1:19" x14ac:dyDescent="0.25">
      <c r="A1033">
        <v>2010111204</v>
      </c>
      <c r="B1033" t="s">
        <v>28</v>
      </c>
      <c r="C1033" t="s">
        <v>29</v>
      </c>
      <c r="D1033" t="s">
        <v>2345</v>
      </c>
      <c r="E1033" t="s">
        <v>2346</v>
      </c>
      <c r="F1033" t="e">
        <f>--ds-btn-block-success-hover-text</f>
        <v>#NAME?</v>
      </c>
      <c r="G1033" t="s">
        <v>37</v>
      </c>
      <c r="H1033" t="s">
        <v>37</v>
      </c>
      <c r="I1033" t="s">
        <v>32</v>
      </c>
      <c r="J1033" t="s">
        <v>24</v>
      </c>
      <c r="K1033" t="s">
        <v>2253</v>
      </c>
      <c r="L1033" t="s">
        <v>139</v>
      </c>
      <c r="M1033" t="s">
        <v>49</v>
      </c>
      <c r="N1033" t="s">
        <v>2338</v>
      </c>
      <c r="O1033">
        <v>1</v>
      </c>
      <c r="P1033">
        <v>0</v>
      </c>
      <c r="Q1033">
        <v>0</v>
      </c>
      <c r="R1033" s="1">
        <v>46206.635081018518</v>
      </c>
      <c r="S1033" s="1">
        <v>46206.635081018518</v>
      </c>
    </row>
    <row r="1034" spans="1:19" x14ac:dyDescent="0.25">
      <c r="A1034">
        <v>2010111205</v>
      </c>
      <c r="B1034" t="s">
        <v>28</v>
      </c>
      <c r="C1034" t="s">
        <v>29</v>
      </c>
      <c r="D1034" t="s">
        <v>2347</v>
      </c>
      <c r="E1034" t="s">
        <v>2348</v>
      </c>
      <c r="F1034" t="e">
        <f>--ds-btn-block-success-hover-border</f>
        <v>#NAME?</v>
      </c>
      <c r="G1034" t="s">
        <v>622</v>
      </c>
      <c r="H1034" t="s">
        <v>622</v>
      </c>
      <c r="I1034" t="s">
        <v>32</v>
      </c>
      <c r="J1034" t="s">
        <v>24</v>
      </c>
      <c r="K1034" t="s">
        <v>2253</v>
      </c>
      <c r="L1034" t="s">
        <v>139</v>
      </c>
      <c r="M1034" t="s">
        <v>53</v>
      </c>
      <c r="N1034" t="s">
        <v>2338</v>
      </c>
      <c r="O1034">
        <v>1</v>
      </c>
      <c r="P1034">
        <v>0</v>
      </c>
      <c r="Q1034">
        <v>0</v>
      </c>
      <c r="R1034" s="1">
        <v>46206.635081018518</v>
      </c>
      <c r="S1034" s="1">
        <v>46206.635081018518</v>
      </c>
    </row>
    <row r="1035" spans="1:19" x14ac:dyDescent="0.25">
      <c r="A1035">
        <v>2010111206</v>
      </c>
      <c r="B1035" t="s">
        <v>28</v>
      </c>
      <c r="C1035" t="s">
        <v>29</v>
      </c>
      <c r="D1035" t="s">
        <v>2349</v>
      </c>
      <c r="E1035" t="s">
        <v>2350</v>
      </c>
      <c r="F1035" t="e">
        <f>--ds-btn-block-success-disabled-bg</f>
        <v>#NAME?</v>
      </c>
      <c r="G1035" t="s">
        <v>461</v>
      </c>
      <c r="H1035" t="s">
        <v>461</v>
      </c>
      <c r="I1035" t="s">
        <v>32</v>
      </c>
      <c r="J1035" t="s">
        <v>24</v>
      </c>
      <c r="K1035" t="s">
        <v>2253</v>
      </c>
      <c r="L1035" t="s">
        <v>139</v>
      </c>
      <c r="M1035" t="s">
        <v>57</v>
      </c>
      <c r="N1035" t="s">
        <v>2338</v>
      </c>
      <c r="O1035">
        <v>1</v>
      </c>
      <c r="P1035">
        <v>0</v>
      </c>
      <c r="Q1035">
        <v>0</v>
      </c>
      <c r="R1035" s="1">
        <v>46206.635081018518</v>
      </c>
      <c r="S1035" s="1">
        <v>46206.635081018518</v>
      </c>
    </row>
    <row r="1036" spans="1:19" x14ac:dyDescent="0.25">
      <c r="A1036">
        <v>2010111207</v>
      </c>
      <c r="B1036" t="s">
        <v>28</v>
      </c>
      <c r="C1036" t="s">
        <v>29</v>
      </c>
      <c r="D1036" t="s">
        <v>2351</v>
      </c>
      <c r="E1036" t="s">
        <v>2352</v>
      </c>
      <c r="F1036" t="e">
        <f>--ds-btn-block-success-disabled-text</f>
        <v>#NAME?</v>
      </c>
      <c r="G1036" t="s">
        <v>60</v>
      </c>
      <c r="H1036" t="s">
        <v>60</v>
      </c>
      <c r="I1036" t="s">
        <v>32</v>
      </c>
      <c r="J1036" t="s">
        <v>24</v>
      </c>
      <c r="K1036" t="s">
        <v>2253</v>
      </c>
      <c r="L1036" t="s">
        <v>139</v>
      </c>
      <c r="M1036" t="s">
        <v>61</v>
      </c>
      <c r="N1036" t="s">
        <v>2338</v>
      </c>
      <c r="O1036">
        <v>1</v>
      </c>
      <c r="P1036">
        <v>0</v>
      </c>
      <c r="Q1036">
        <v>0</v>
      </c>
      <c r="R1036" s="1">
        <v>46206.635081018518</v>
      </c>
      <c r="S1036" s="1">
        <v>46206.635081018518</v>
      </c>
    </row>
    <row r="1037" spans="1:19" x14ac:dyDescent="0.25">
      <c r="A1037">
        <v>2010111208</v>
      </c>
      <c r="B1037" t="s">
        <v>28</v>
      </c>
      <c r="C1037" t="s">
        <v>29</v>
      </c>
      <c r="D1037" t="s">
        <v>2353</v>
      </c>
      <c r="E1037" t="s">
        <v>2354</v>
      </c>
      <c r="F1037" t="e">
        <f>--ds-btn-block-success-disabled-border</f>
        <v>#NAME?</v>
      </c>
      <c r="G1037" t="s">
        <v>1260</v>
      </c>
      <c r="H1037" t="s">
        <v>1260</v>
      </c>
      <c r="I1037" t="s">
        <v>32</v>
      </c>
      <c r="J1037" t="s">
        <v>24</v>
      </c>
      <c r="K1037" t="s">
        <v>2253</v>
      </c>
      <c r="L1037" t="s">
        <v>139</v>
      </c>
      <c r="M1037" t="s">
        <v>65</v>
      </c>
      <c r="N1037" t="s">
        <v>2338</v>
      </c>
      <c r="O1037">
        <v>1</v>
      </c>
      <c r="P1037">
        <v>0</v>
      </c>
      <c r="Q1037">
        <v>0</v>
      </c>
      <c r="R1037" s="1">
        <v>46206.635081018518</v>
      </c>
      <c r="S1037" s="1">
        <v>46206.635081018518</v>
      </c>
    </row>
    <row r="1038" spans="1:19" x14ac:dyDescent="0.25">
      <c r="A1038">
        <v>2010111209</v>
      </c>
      <c r="B1038" t="s">
        <v>28</v>
      </c>
      <c r="C1038" t="s">
        <v>29</v>
      </c>
      <c r="D1038" t="s">
        <v>2355</v>
      </c>
      <c r="E1038" t="s">
        <v>2356</v>
      </c>
      <c r="F1038" t="e">
        <f>--ds-btn-block-success-shadow</f>
        <v>#NAME?</v>
      </c>
      <c r="G1038" t="s">
        <v>68</v>
      </c>
      <c r="H1038" t="s">
        <v>68</v>
      </c>
      <c r="I1038" t="s">
        <v>32</v>
      </c>
      <c r="J1038" t="s">
        <v>69</v>
      </c>
      <c r="K1038" t="s">
        <v>2253</v>
      </c>
      <c r="L1038" t="s">
        <v>139</v>
      </c>
      <c r="M1038" t="s">
        <v>70</v>
      </c>
      <c r="N1038" t="s">
        <v>2338</v>
      </c>
      <c r="O1038">
        <v>1</v>
      </c>
      <c r="P1038">
        <v>0</v>
      </c>
      <c r="Q1038">
        <v>0</v>
      </c>
      <c r="R1038" s="1">
        <v>46206.635081018518</v>
      </c>
      <c r="S1038" s="1">
        <v>46206.635081018518</v>
      </c>
    </row>
    <row r="1039" spans="1:19" x14ac:dyDescent="0.25">
      <c r="A1039">
        <v>2010111210</v>
      </c>
      <c r="B1039" t="s">
        <v>28</v>
      </c>
      <c r="C1039" t="s">
        <v>29</v>
      </c>
      <c r="D1039" t="s">
        <v>2357</v>
      </c>
      <c r="E1039" t="s">
        <v>2358</v>
      </c>
      <c r="F1039" t="e">
        <f>--ds-btn-block-success-radius</f>
        <v>#NAME?</v>
      </c>
      <c r="G1039" t="s">
        <v>73</v>
      </c>
      <c r="H1039" t="s">
        <v>73</v>
      </c>
      <c r="I1039" t="s">
        <v>32</v>
      </c>
      <c r="J1039" t="s">
        <v>69</v>
      </c>
      <c r="K1039" t="s">
        <v>2253</v>
      </c>
      <c r="L1039" t="s">
        <v>139</v>
      </c>
      <c r="M1039" t="s">
        <v>74</v>
      </c>
      <c r="N1039" t="s">
        <v>2338</v>
      </c>
      <c r="O1039">
        <v>1</v>
      </c>
      <c r="P1039">
        <v>0</v>
      </c>
      <c r="Q1039">
        <v>0</v>
      </c>
      <c r="R1039" s="1">
        <v>46206.635081018518</v>
      </c>
      <c r="S1039" s="1">
        <v>46206.635081018518</v>
      </c>
    </row>
    <row r="1040" spans="1:19" x14ac:dyDescent="0.25">
      <c r="A1040">
        <v>2010111211</v>
      </c>
      <c r="B1040" t="s">
        <v>28</v>
      </c>
      <c r="C1040" t="s">
        <v>29</v>
      </c>
      <c r="D1040" t="s">
        <v>2359</v>
      </c>
      <c r="E1040" t="s">
        <v>2360</v>
      </c>
      <c r="F1040" t="e">
        <f>--ds-btn-block-success-padding-x</f>
        <v>#NAME?</v>
      </c>
      <c r="G1040" t="s">
        <v>77</v>
      </c>
      <c r="H1040" t="s">
        <v>77</v>
      </c>
      <c r="I1040" t="s">
        <v>32</v>
      </c>
      <c r="J1040" t="s">
        <v>78</v>
      </c>
      <c r="K1040" t="s">
        <v>2253</v>
      </c>
      <c r="L1040" t="s">
        <v>139</v>
      </c>
      <c r="M1040" t="s">
        <v>79</v>
      </c>
      <c r="N1040" t="s">
        <v>2338</v>
      </c>
      <c r="O1040">
        <v>1</v>
      </c>
      <c r="P1040">
        <v>0</v>
      </c>
      <c r="Q1040">
        <v>0</v>
      </c>
      <c r="R1040" s="1">
        <v>46206.635081018518</v>
      </c>
      <c r="S1040" s="1">
        <v>46206.635081018518</v>
      </c>
    </row>
    <row r="1041" spans="1:19" x14ac:dyDescent="0.25">
      <c r="A1041">
        <v>2010111212</v>
      </c>
      <c r="B1041" t="s">
        <v>28</v>
      </c>
      <c r="C1041" t="s">
        <v>29</v>
      </c>
      <c r="D1041" t="s">
        <v>2361</v>
      </c>
      <c r="E1041" t="s">
        <v>2362</v>
      </c>
      <c r="F1041" t="e">
        <f>--ds-btn-block-success-padding-y</f>
        <v>#NAME?</v>
      </c>
      <c r="G1041" t="s">
        <v>82</v>
      </c>
      <c r="H1041" t="s">
        <v>82</v>
      </c>
      <c r="I1041" t="s">
        <v>32</v>
      </c>
      <c r="J1041" t="s">
        <v>78</v>
      </c>
      <c r="K1041" t="s">
        <v>2253</v>
      </c>
      <c r="L1041" t="s">
        <v>139</v>
      </c>
      <c r="M1041" t="s">
        <v>83</v>
      </c>
      <c r="N1041" t="s">
        <v>2338</v>
      </c>
      <c r="O1041">
        <v>1</v>
      </c>
      <c r="P1041">
        <v>0</v>
      </c>
      <c r="Q1041">
        <v>0</v>
      </c>
      <c r="R1041" s="1">
        <v>46206.635081018518</v>
      </c>
      <c r="S1041" s="1">
        <v>46206.635081018518</v>
      </c>
    </row>
    <row r="1042" spans="1:19" x14ac:dyDescent="0.25">
      <c r="A1042">
        <v>2010111213</v>
      </c>
      <c r="B1042" t="s">
        <v>28</v>
      </c>
      <c r="C1042" t="s">
        <v>29</v>
      </c>
      <c r="D1042" t="s">
        <v>2363</v>
      </c>
      <c r="E1042" t="s">
        <v>2364</v>
      </c>
      <c r="F1042" t="e">
        <f>--ds-btn-block-success-gap</f>
        <v>#NAME?</v>
      </c>
      <c r="G1042" t="s">
        <v>86</v>
      </c>
      <c r="H1042" t="s">
        <v>86</v>
      </c>
      <c r="I1042" t="s">
        <v>32</v>
      </c>
      <c r="J1042" t="s">
        <v>78</v>
      </c>
      <c r="K1042" t="s">
        <v>2253</v>
      </c>
      <c r="L1042" t="s">
        <v>139</v>
      </c>
      <c r="M1042" t="s">
        <v>87</v>
      </c>
      <c r="N1042" t="s">
        <v>2338</v>
      </c>
      <c r="O1042">
        <v>1</v>
      </c>
      <c r="P1042">
        <v>0</v>
      </c>
      <c r="Q1042">
        <v>0</v>
      </c>
      <c r="R1042" s="1">
        <v>46206.635081018518</v>
      </c>
      <c r="S1042" s="1">
        <v>46206.635081018518</v>
      </c>
    </row>
    <row r="1043" spans="1:19" x14ac:dyDescent="0.25">
      <c r="A1043">
        <v>2010111214</v>
      </c>
      <c r="B1043" t="s">
        <v>28</v>
      </c>
      <c r="C1043" t="s">
        <v>29</v>
      </c>
      <c r="D1043" t="s">
        <v>2365</v>
      </c>
      <c r="E1043" t="s">
        <v>2366</v>
      </c>
      <c r="F1043" t="e">
        <f>--ds-btn-block-success-focus-ring</f>
        <v>#NAME?</v>
      </c>
      <c r="G1043" t="s">
        <v>1273</v>
      </c>
      <c r="H1043" t="s">
        <v>1273</v>
      </c>
      <c r="I1043" t="s">
        <v>32</v>
      </c>
      <c r="J1043" t="s">
        <v>69</v>
      </c>
      <c r="K1043" t="s">
        <v>2253</v>
      </c>
      <c r="L1043" t="s">
        <v>139</v>
      </c>
      <c r="M1043" t="s">
        <v>91</v>
      </c>
      <c r="N1043" t="s">
        <v>2338</v>
      </c>
      <c r="O1043">
        <v>1</v>
      </c>
      <c r="P1043">
        <v>0</v>
      </c>
      <c r="Q1043">
        <v>0</v>
      </c>
      <c r="R1043" s="1">
        <v>46206.635081018518</v>
      </c>
      <c r="S1043" s="1">
        <v>46206.635081018518</v>
      </c>
    </row>
    <row r="1044" spans="1:19" x14ac:dyDescent="0.25">
      <c r="A1044">
        <v>2010111215</v>
      </c>
      <c r="B1044" t="s">
        <v>28</v>
      </c>
      <c r="C1044" t="s">
        <v>29</v>
      </c>
      <c r="D1044" t="s">
        <v>2367</v>
      </c>
      <c r="E1044" t="s">
        <v>2368</v>
      </c>
      <c r="F1044" t="e">
        <f>--ds-btn-block-success-outline</f>
        <v>#NAME?</v>
      </c>
      <c r="G1044" t="s">
        <v>94</v>
      </c>
      <c r="H1044" t="s">
        <v>94</v>
      </c>
      <c r="I1044" t="s">
        <v>32</v>
      </c>
      <c r="J1044" t="s">
        <v>69</v>
      </c>
      <c r="K1044" t="s">
        <v>2253</v>
      </c>
      <c r="L1044" t="s">
        <v>139</v>
      </c>
      <c r="M1044" t="s">
        <v>95</v>
      </c>
      <c r="N1044" t="s">
        <v>2338</v>
      </c>
      <c r="O1044">
        <v>1</v>
      </c>
      <c r="P1044">
        <v>0</v>
      </c>
      <c r="Q1044">
        <v>0</v>
      </c>
      <c r="R1044" s="1">
        <v>46206.635081018518</v>
      </c>
      <c r="S1044" s="1">
        <v>46206.635081018518</v>
      </c>
    </row>
    <row r="1045" spans="1:19" x14ac:dyDescent="0.25">
      <c r="A1045">
        <v>2010111216</v>
      </c>
      <c r="B1045" t="s">
        <v>28</v>
      </c>
      <c r="C1045" t="s">
        <v>29</v>
      </c>
      <c r="D1045" t="s">
        <v>2369</v>
      </c>
      <c r="E1045" t="s">
        <v>2370</v>
      </c>
      <c r="F1045" t="e">
        <f>--ds-btn-block-success-transition</f>
        <v>#NAME?</v>
      </c>
      <c r="G1045" t="s">
        <v>98</v>
      </c>
      <c r="H1045" t="s">
        <v>98</v>
      </c>
      <c r="I1045" t="s">
        <v>32</v>
      </c>
      <c r="J1045" t="s">
        <v>69</v>
      </c>
      <c r="K1045" t="s">
        <v>2253</v>
      </c>
      <c r="L1045" t="s">
        <v>139</v>
      </c>
      <c r="M1045" t="s">
        <v>99</v>
      </c>
      <c r="N1045" t="s">
        <v>2338</v>
      </c>
      <c r="O1045">
        <v>1</v>
      </c>
      <c r="P1045">
        <v>0</v>
      </c>
      <c r="Q1045">
        <v>0</v>
      </c>
      <c r="R1045" s="1">
        <v>46206.635081018518</v>
      </c>
      <c r="S1045" s="1">
        <v>46206.635081018518</v>
      </c>
    </row>
    <row r="1046" spans="1:19" x14ac:dyDescent="0.25">
      <c r="A1046">
        <v>2010111217</v>
      </c>
      <c r="B1046" t="s">
        <v>28</v>
      </c>
      <c r="C1046" t="s">
        <v>29</v>
      </c>
      <c r="D1046" t="s">
        <v>2371</v>
      </c>
      <c r="E1046" t="s">
        <v>2372</v>
      </c>
      <c r="F1046" t="e">
        <f>--ds-btn-block-success-icon-color</f>
        <v>#NAME?</v>
      </c>
      <c r="G1046" t="s">
        <v>37</v>
      </c>
      <c r="H1046" t="s">
        <v>37</v>
      </c>
      <c r="I1046" t="s">
        <v>32</v>
      </c>
      <c r="J1046" t="s">
        <v>24</v>
      </c>
      <c r="K1046" t="s">
        <v>2253</v>
      </c>
      <c r="L1046" t="s">
        <v>139</v>
      </c>
      <c r="M1046" t="s">
        <v>102</v>
      </c>
      <c r="N1046" t="s">
        <v>2338</v>
      </c>
      <c r="O1046">
        <v>1</v>
      </c>
      <c r="P1046">
        <v>0</v>
      </c>
      <c r="Q1046">
        <v>0</v>
      </c>
      <c r="R1046" s="1">
        <v>46206.635081018518</v>
      </c>
      <c r="S1046" s="1">
        <v>46206.635081018518</v>
      </c>
    </row>
    <row r="1047" spans="1:19" x14ac:dyDescent="0.25">
      <c r="A1047">
        <v>2010111218</v>
      </c>
      <c r="B1047" t="s">
        <v>28</v>
      </c>
      <c r="C1047" t="s">
        <v>29</v>
      </c>
      <c r="D1047" t="s">
        <v>2373</v>
      </c>
      <c r="E1047" t="s">
        <v>2374</v>
      </c>
      <c r="F1047" t="e">
        <f>--ds-btn-block-success-icon-size</f>
        <v>#NAME?</v>
      </c>
      <c r="G1047" t="s">
        <v>105</v>
      </c>
      <c r="H1047" t="s">
        <v>105</v>
      </c>
      <c r="I1047" t="s">
        <v>32</v>
      </c>
      <c r="J1047" t="s">
        <v>78</v>
      </c>
      <c r="K1047" t="s">
        <v>2253</v>
      </c>
      <c r="L1047" t="s">
        <v>139</v>
      </c>
      <c r="M1047" t="s">
        <v>106</v>
      </c>
      <c r="N1047" t="s">
        <v>2338</v>
      </c>
      <c r="O1047">
        <v>1</v>
      </c>
      <c r="P1047">
        <v>0</v>
      </c>
      <c r="Q1047">
        <v>0</v>
      </c>
      <c r="R1047" s="1">
        <v>46206.635081018518</v>
      </c>
      <c r="S1047" s="1">
        <v>46206.635081018518</v>
      </c>
    </row>
    <row r="1048" spans="1:19" x14ac:dyDescent="0.25">
      <c r="A1048">
        <v>2010111219</v>
      </c>
      <c r="B1048" t="s">
        <v>28</v>
      </c>
      <c r="C1048" t="s">
        <v>29</v>
      </c>
      <c r="D1048" t="s">
        <v>2375</v>
      </c>
      <c r="E1048" t="s">
        <v>2376</v>
      </c>
      <c r="F1048" t="e">
        <f>--ds-btn-block-success-line-height</f>
        <v>#NAME?</v>
      </c>
      <c r="G1048">
        <v>1.2</v>
      </c>
      <c r="H1048">
        <v>1.2</v>
      </c>
      <c r="I1048" t="s">
        <v>32</v>
      </c>
      <c r="J1048" t="s">
        <v>78</v>
      </c>
      <c r="K1048" t="s">
        <v>2253</v>
      </c>
      <c r="L1048" t="s">
        <v>139</v>
      </c>
      <c r="M1048" t="s">
        <v>109</v>
      </c>
      <c r="N1048" t="s">
        <v>2338</v>
      </c>
      <c r="O1048">
        <v>1</v>
      </c>
      <c r="P1048">
        <v>0</v>
      </c>
      <c r="Q1048">
        <v>0</v>
      </c>
      <c r="R1048" s="1">
        <v>46206.635081018518</v>
      </c>
      <c r="S1048" s="1">
        <v>46206.635081018518</v>
      </c>
    </row>
    <row r="1049" spans="1:19" x14ac:dyDescent="0.25">
      <c r="A1049">
        <v>2010111300</v>
      </c>
      <c r="B1049" t="s">
        <v>28</v>
      </c>
      <c r="C1049" t="s">
        <v>29</v>
      </c>
      <c r="D1049" t="s">
        <v>2377</v>
      </c>
      <c r="E1049" t="s">
        <v>2378</v>
      </c>
      <c r="F1049" t="e">
        <f>--ds-btn-block-danger-bg</f>
        <v>#NAME?</v>
      </c>
      <c r="G1049" t="s">
        <v>160</v>
      </c>
      <c r="H1049" t="s">
        <v>160</v>
      </c>
      <c r="I1049" t="s">
        <v>32</v>
      </c>
      <c r="J1049" t="s">
        <v>24</v>
      </c>
      <c r="K1049" t="s">
        <v>2253</v>
      </c>
      <c r="L1049" t="s">
        <v>161</v>
      </c>
      <c r="M1049" t="s">
        <v>26</v>
      </c>
      <c r="N1049" t="s">
        <v>2379</v>
      </c>
      <c r="O1049">
        <v>1</v>
      </c>
      <c r="P1049">
        <v>0</v>
      </c>
      <c r="Q1049">
        <v>0</v>
      </c>
      <c r="R1049" s="1">
        <v>46206.635671296295</v>
      </c>
      <c r="S1049" s="1">
        <v>46206.635671296295</v>
      </c>
    </row>
    <row r="1050" spans="1:19" x14ac:dyDescent="0.25">
      <c r="A1050">
        <v>2010111301</v>
      </c>
      <c r="B1050" t="s">
        <v>28</v>
      </c>
      <c r="C1050" t="s">
        <v>29</v>
      </c>
      <c r="D1050" t="s">
        <v>2380</v>
      </c>
      <c r="E1050" t="s">
        <v>2381</v>
      </c>
      <c r="F1050" t="e">
        <f>--ds-btn-block-danger-text</f>
        <v>#NAME?</v>
      </c>
      <c r="G1050" t="s">
        <v>37</v>
      </c>
      <c r="H1050" t="s">
        <v>37</v>
      </c>
      <c r="I1050" t="s">
        <v>32</v>
      </c>
      <c r="J1050" t="s">
        <v>24</v>
      </c>
      <c r="K1050" t="s">
        <v>2253</v>
      </c>
      <c r="L1050" t="s">
        <v>161</v>
      </c>
      <c r="M1050" t="s">
        <v>38</v>
      </c>
      <c r="N1050" t="s">
        <v>2379</v>
      </c>
      <c r="O1050">
        <v>1</v>
      </c>
      <c r="P1050">
        <v>0</v>
      </c>
      <c r="Q1050">
        <v>0</v>
      </c>
      <c r="R1050" s="1">
        <v>46206.635671296295</v>
      </c>
      <c r="S1050" s="1">
        <v>46206.635671296295</v>
      </c>
    </row>
    <row r="1051" spans="1:19" x14ac:dyDescent="0.25">
      <c r="A1051">
        <v>2010111302</v>
      </c>
      <c r="B1051" t="s">
        <v>28</v>
      </c>
      <c r="C1051" t="s">
        <v>29</v>
      </c>
      <c r="D1051" t="s">
        <v>2382</v>
      </c>
      <c r="E1051" t="s">
        <v>2383</v>
      </c>
      <c r="F1051" t="e">
        <f>--ds-btn-block-danger-border</f>
        <v>#NAME?</v>
      </c>
      <c r="G1051" t="s">
        <v>169</v>
      </c>
      <c r="H1051" t="s">
        <v>169</v>
      </c>
      <c r="I1051" t="s">
        <v>32</v>
      </c>
      <c r="J1051" t="s">
        <v>24</v>
      </c>
      <c r="K1051" t="s">
        <v>2253</v>
      </c>
      <c r="L1051" t="s">
        <v>161</v>
      </c>
      <c r="M1051" t="s">
        <v>42</v>
      </c>
      <c r="N1051" t="s">
        <v>2379</v>
      </c>
      <c r="O1051">
        <v>1</v>
      </c>
      <c r="P1051">
        <v>0</v>
      </c>
      <c r="Q1051">
        <v>0</v>
      </c>
      <c r="R1051" s="1">
        <v>46206.635671296295</v>
      </c>
      <c r="S1051" s="1">
        <v>46206.635671296295</v>
      </c>
    </row>
    <row r="1052" spans="1:19" x14ac:dyDescent="0.25">
      <c r="A1052">
        <v>2010111303</v>
      </c>
      <c r="B1052" t="s">
        <v>28</v>
      </c>
      <c r="C1052" t="s">
        <v>29</v>
      </c>
      <c r="D1052" t="s">
        <v>2384</v>
      </c>
      <c r="E1052" t="s">
        <v>2385</v>
      </c>
      <c r="F1052" t="e">
        <f>--ds-btn-block-danger-hover-bg</f>
        <v>#NAME?</v>
      </c>
      <c r="G1052" t="s">
        <v>955</v>
      </c>
      <c r="H1052" t="s">
        <v>955</v>
      </c>
      <c r="I1052" t="s">
        <v>32</v>
      </c>
      <c r="J1052" t="s">
        <v>24</v>
      </c>
      <c r="K1052" t="s">
        <v>2253</v>
      </c>
      <c r="L1052" t="s">
        <v>161</v>
      </c>
      <c r="M1052" t="s">
        <v>46</v>
      </c>
      <c r="N1052" t="s">
        <v>2379</v>
      </c>
      <c r="O1052">
        <v>1</v>
      </c>
      <c r="P1052">
        <v>0</v>
      </c>
      <c r="Q1052">
        <v>0</v>
      </c>
      <c r="R1052" s="1">
        <v>46206.635671296295</v>
      </c>
      <c r="S1052" s="1">
        <v>46206.635671296295</v>
      </c>
    </row>
    <row r="1053" spans="1:19" x14ac:dyDescent="0.25">
      <c r="A1053">
        <v>2010111304</v>
      </c>
      <c r="B1053" t="s">
        <v>28</v>
      </c>
      <c r="C1053" t="s">
        <v>29</v>
      </c>
      <c r="D1053" t="s">
        <v>2386</v>
      </c>
      <c r="E1053" t="s">
        <v>2387</v>
      </c>
      <c r="F1053" t="e">
        <f>--ds-btn-block-danger-hover-text</f>
        <v>#NAME?</v>
      </c>
      <c r="G1053" t="s">
        <v>37</v>
      </c>
      <c r="H1053" t="s">
        <v>37</v>
      </c>
      <c r="I1053" t="s">
        <v>32</v>
      </c>
      <c r="J1053" t="s">
        <v>24</v>
      </c>
      <c r="K1053" t="s">
        <v>2253</v>
      </c>
      <c r="L1053" t="s">
        <v>161</v>
      </c>
      <c r="M1053" t="s">
        <v>49</v>
      </c>
      <c r="N1053" t="s">
        <v>2379</v>
      </c>
      <c r="O1053">
        <v>1</v>
      </c>
      <c r="P1053">
        <v>0</v>
      </c>
      <c r="Q1053">
        <v>0</v>
      </c>
      <c r="R1053" s="1">
        <v>46206.635671296295</v>
      </c>
      <c r="S1053" s="1">
        <v>46206.635671296295</v>
      </c>
    </row>
    <row r="1054" spans="1:19" x14ac:dyDescent="0.25">
      <c r="A1054">
        <v>2010111305</v>
      </c>
      <c r="B1054" t="s">
        <v>28</v>
      </c>
      <c r="C1054" t="s">
        <v>29</v>
      </c>
      <c r="D1054" t="s">
        <v>2388</v>
      </c>
      <c r="E1054" t="s">
        <v>2389</v>
      </c>
      <c r="F1054" t="e">
        <f>--ds-btn-block-danger-hover-border</f>
        <v>#NAME?</v>
      </c>
      <c r="G1054" t="s">
        <v>642</v>
      </c>
      <c r="H1054" t="s">
        <v>642</v>
      </c>
      <c r="I1054" t="s">
        <v>32</v>
      </c>
      <c r="J1054" t="s">
        <v>24</v>
      </c>
      <c r="K1054" t="s">
        <v>2253</v>
      </c>
      <c r="L1054" t="s">
        <v>161</v>
      </c>
      <c r="M1054" t="s">
        <v>53</v>
      </c>
      <c r="N1054" t="s">
        <v>2379</v>
      </c>
      <c r="O1054">
        <v>1</v>
      </c>
      <c r="P1054">
        <v>0</v>
      </c>
      <c r="Q1054">
        <v>0</v>
      </c>
      <c r="R1054" s="1">
        <v>46206.635671296295</v>
      </c>
      <c r="S1054" s="1">
        <v>46206.635671296295</v>
      </c>
    </row>
    <row r="1055" spans="1:19" x14ac:dyDescent="0.25">
      <c r="A1055">
        <v>2010111306</v>
      </c>
      <c r="B1055" t="s">
        <v>28</v>
      </c>
      <c r="C1055" t="s">
        <v>29</v>
      </c>
      <c r="D1055" t="s">
        <v>2390</v>
      </c>
      <c r="E1055" t="s">
        <v>2391</v>
      </c>
      <c r="F1055" t="e">
        <f>--ds-btn-block-danger-disabled-bg</f>
        <v>#NAME?</v>
      </c>
      <c r="G1055" t="s">
        <v>484</v>
      </c>
      <c r="H1055" t="s">
        <v>484</v>
      </c>
      <c r="I1055" t="s">
        <v>32</v>
      </c>
      <c r="J1055" t="s">
        <v>24</v>
      </c>
      <c r="K1055" t="s">
        <v>2253</v>
      </c>
      <c r="L1055" t="s">
        <v>161</v>
      </c>
      <c r="M1055" t="s">
        <v>57</v>
      </c>
      <c r="N1055" t="s">
        <v>2379</v>
      </c>
      <c r="O1055">
        <v>1</v>
      </c>
      <c r="P1055">
        <v>0</v>
      </c>
      <c r="Q1055">
        <v>0</v>
      </c>
      <c r="R1055" s="1">
        <v>46206.635671296295</v>
      </c>
      <c r="S1055" s="1">
        <v>46206.635671296295</v>
      </c>
    </row>
    <row r="1056" spans="1:19" x14ac:dyDescent="0.25">
      <c r="A1056">
        <v>2010111307</v>
      </c>
      <c r="B1056" t="s">
        <v>28</v>
      </c>
      <c r="C1056" t="s">
        <v>29</v>
      </c>
      <c r="D1056" t="s">
        <v>2392</v>
      </c>
      <c r="E1056" t="s">
        <v>2393</v>
      </c>
      <c r="F1056" t="e">
        <f>--ds-btn-block-danger-disabled-text</f>
        <v>#NAME?</v>
      </c>
      <c r="G1056" t="s">
        <v>60</v>
      </c>
      <c r="H1056" t="s">
        <v>60</v>
      </c>
      <c r="I1056" t="s">
        <v>32</v>
      </c>
      <c r="J1056" t="s">
        <v>24</v>
      </c>
      <c r="K1056" t="s">
        <v>2253</v>
      </c>
      <c r="L1056" t="s">
        <v>161</v>
      </c>
      <c r="M1056" t="s">
        <v>61</v>
      </c>
      <c r="N1056" t="s">
        <v>2379</v>
      </c>
      <c r="O1056">
        <v>1</v>
      </c>
      <c r="P1056">
        <v>0</v>
      </c>
      <c r="Q1056">
        <v>0</v>
      </c>
      <c r="R1056" s="1">
        <v>46206.635671296295</v>
      </c>
      <c r="S1056" s="1">
        <v>46206.635671296295</v>
      </c>
    </row>
    <row r="1057" spans="1:19" x14ac:dyDescent="0.25">
      <c r="A1057">
        <v>2010111308</v>
      </c>
      <c r="B1057" t="s">
        <v>28</v>
      </c>
      <c r="C1057" t="s">
        <v>29</v>
      </c>
      <c r="D1057" t="s">
        <v>2394</v>
      </c>
      <c r="E1057" t="s">
        <v>2395</v>
      </c>
      <c r="F1057" t="e">
        <f>--ds-btn-block-danger-disabled-border</f>
        <v>#NAME?</v>
      </c>
      <c r="G1057" t="s">
        <v>2396</v>
      </c>
      <c r="H1057" t="s">
        <v>2396</v>
      </c>
      <c r="I1057" t="s">
        <v>32</v>
      </c>
      <c r="J1057" t="s">
        <v>24</v>
      </c>
      <c r="K1057" t="s">
        <v>2253</v>
      </c>
      <c r="L1057" t="s">
        <v>161</v>
      </c>
      <c r="M1057" t="s">
        <v>65</v>
      </c>
      <c r="N1057" t="s">
        <v>2379</v>
      </c>
      <c r="O1057">
        <v>1</v>
      </c>
      <c r="P1057">
        <v>0</v>
      </c>
      <c r="Q1057">
        <v>0</v>
      </c>
      <c r="R1057" s="1">
        <v>46206.635671296295</v>
      </c>
      <c r="S1057" s="1">
        <v>46206.635671296295</v>
      </c>
    </row>
    <row r="1058" spans="1:19" x14ac:dyDescent="0.25">
      <c r="A1058">
        <v>2010111309</v>
      </c>
      <c r="B1058" t="s">
        <v>28</v>
      </c>
      <c r="C1058" t="s">
        <v>29</v>
      </c>
      <c r="D1058" t="s">
        <v>2397</v>
      </c>
      <c r="E1058" t="s">
        <v>2398</v>
      </c>
      <c r="F1058" t="e">
        <f>--ds-btn-block-danger-shadow</f>
        <v>#NAME?</v>
      </c>
      <c r="G1058" t="s">
        <v>68</v>
      </c>
      <c r="H1058" t="s">
        <v>68</v>
      </c>
      <c r="I1058" t="s">
        <v>32</v>
      </c>
      <c r="J1058" t="s">
        <v>69</v>
      </c>
      <c r="K1058" t="s">
        <v>2253</v>
      </c>
      <c r="L1058" t="s">
        <v>161</v>
      </c>
      <c r="M1058" t="s">
        <v>70</v>
      </c>
      <c r="N1058" t="s">
        <v>2379</v>
      </c>
      <c r="O1058">
        <v>1</v>
      </c>
      <c r="P1058">
        <v>0</v>
      </c>
      <c r="Q1058">
        <v>0</v>
      </c>
      <c r="R1058" s="1">
        <v>46206.635671296295</v>
      </c>
      <c r="S1058" s="1">
        <v>46206.635671296295</v>
      </c>
    </row>
    <row r="1059" spans="1:19" x14ac:dyDescent="0.25">
      <c r="A1059">
        <v>2010111310</v>
      </c>
      <c r="B1059" t="s">
        <v>28</v>
      </c>
      <c r="C1059" t="s">
        <v>29</v>
      </c>
      <c r="D1059" t="s">
        <v>2399</v>
      </c>
      <c r="E1059" t="s">
        <v>2400</v>
      </c>
      <c r="F1059" t="e">
        <f>--ds-btn-block-danger-radius</f>
        <v>#NAME?</v>
      </c>
      <c r="G1059" t="s">
        <v>73</v>
      </c>
      <c r="H1059" t="s">
        <v>73</v>
      </c>
      <c r="I1059" t="s">
        <v>32</v>
      </c>
      <c r="J1059" t="s">
        <v>69</v>
      </c>
      <c r="K1059" t="s">
        <v>2253</v>
      </c>
      <c r="L1059" t="s">
        <v>161</v>
      </c>
      <c r="M1059" t="s">
        <v>74</v>
      </c>
      <c r="N1059" t="s">
        <v>2379</v>
      </c>
      <c r="O1059">
        <v>1</v>
      </c>
      <c r="P1059">
        <v>0</v>
      </c>
      <c r="Q1059">
        <v>0</v>
      </c>
      <c r="R1059" s="1">
        <v>46206.635671296295</v>
      </c>
      <c r="S1059" s="1">
        <v>46206.635671296295</v>
      </c>
    </row>
    <row r="1060" spans="1:19" x14ac:dyDescent="0.25">
      <c r="A1060">
        <v>2010111311</v>
      </c>
      <c r="B1060" t="s">
        <v>28</v>
      </c>
      <c r="C1060" t="s">
        <v>29</v>
      </c>
      <c r="D1060" t="s">
        <v>2401</v>
      </c>
      <c r="E1060" t="s">
        <v>2402</v>
      </c>
      <c r="F1060" t="e">
        <f>--ds-btn-block-danger-padding-x</f>
        <v>#NAME?</v>
      </c>
      <c r="G1060" t="s">
        <v>77</v>
      </c>
      <c r="H1060" t="s">
        <v>77</v>
      </c>
      <c r="I1060" t="s">
        <v>32</v>
      </c>
      <c r="J1060" t="s">
        <v>78</v>
      </c>
      <c r="K1060" t="s">
        <v>2253</v>
      </c>
      <c r="L1060" t="s">
        <v>161</v>
      </c>
      <c r="M1060" t="s">
        <v>79</v>
      </c>
      <c r="N1060" t="s">
        <v>2379</v>
      </c>
      <c r="O1060">
        <v>1</v>
      </c>
      <c r="P1060">
        <v>0</v>
      </c>
      <c r="Q1060">
        <v>0</v>
      </c>
      <c r="R1060" s="1">
        <v>46206.635671296295</v>
      </c>
      <c r="S1060" s="1">
        <v>46206.635671296295</v>
      </c>
    </row>
    <row r="1061" spans="1:19" x14ac:dyDescent="0.25">
      <c r="A1061">
        <v>2010111312</v>
      </c>
      <c r="B1061" t="s">
        <v>28</v>
      </c>
      <c r="C1061" t="s">
        <v>29</v>
      </c>
      <c r="D1061" t="s">
        <v>2403</v>
      </c>
      <c r="E1061" t="s">
        <v>2404</v>
      </c>
      <c r="F1061" t="e">
        <f>--ds-btn-block-danger-padding-y</f>
        <v>#NAME?</v>
      </c>
      <c r="G1061" t="s">
        <v>82</v>
      </c>
      <c r="H1061" t="s">
        <v>82</v>
      </c>
      <c r="I1061" t="s">
        <v>32</v>
      </c>
      <c r="J1061" t="s">
        <v>78</v>
      </c>
      <c r="K1061" t="s">
        <v>2253</v>
      </c>
      <c r="L1061" t="s">
        <v>161</v>
      </c>
      <c r="M1061" t="s">
        <v>83</v>
      </c>
      <c r="N1061" t="s">
        <v>2379</v>
      </c>
      <c r="O1061">
        <v>1</v>
      </c>
      <c r="P1061">
        <v>0</v>
      </c>
      <c r="Q1061">
        <v>0</v>
      </c>
      <c r="R1061" s="1">
        <v>46206.635671296295</v>
      </c>
      <c r="S1061" s="1">
        <v>46206.635671296295</v>
      </c>
    </row>
    <row r="1062" spans="1:19" x14ac:dyDescent="0.25">
      <c r="A1062">
        <v>2010111313</v>
      </c>
      <c r="B1062" t="s">
        <v>28</v>
      </c>
      <c r="C1062" t="s">
        <v>29</v>
      </c>
      <c r="D1062" t="s">
        <v>2405</v>
      </c>
      <c r="E1062" t="s">
        <v>2406</v>
      </c>
      <c r="F1062" t="e">
        <f>--ds-btn-block-danger-gap</f>
        <v>#NAME?</v>
      </c>
      <c r="G1062" t="s">
        <v>86</v>
      </c>
      <c r="H1062" t="s">
        <v>86</v>
      </c>
      <c r="I1062" t="s">
        <v>32</v>
      </c>
      <c r="J1062" t="s">
        <v>78</v>
      </c>
      <c r="K1062" t="s">
        <v>2253</v>
      </c>
      <c r="L1062" t="s">
        <v>161</v>
      </c>
      <c r="M1062" t="s">
        <v>87</v>
      </c>
      <c r="N1062" t="s">
        <v>2379</v>
      </c>
      <c r="O1062">
        <v>1</v>
      </c>
      <c r="P1062">
        <v>0</v>
      </c>
      <c r="Q1062">
        <v>0</v>
      </c>
      <c r="R1062" s="1">
        <v>46206.635671296295</v>
      </c>
      <c r="S1062" s="1">
        <v>46206.635671296295</v>
      </c>
    </row>
    <row r="1063" spans="1:19" x14ac:dyDescent="0.25">
      <c r="A1063">
        <v>2010111314</v>
      </c>
      <c r="B1063" t="s">
        <v>28</v>
      </c>
      <c r="C1063" t="s">
        <v>29</v>
      </c>
      <c r="D1063" t="s">
        <v>2407</v>
      </c>
      <c r="E1063" t="s">
        <v>2408</v>
      </c>
      <c r="F1063" t="e">
        <f>--ds-btn-block-danger-focus-ring</f>
        <v>#NAME?</v>
      </c>
      <c r="G1063" t="s">
        <v>1316</v>
      </c>
      <c r="H1063" t="s">
        <v>1316</v>
      </c>
      <c r="I1063" t="s">
        <v>32</v>
      </c>
      <c r="J1063" t="s">
        <v>69</v>
      </c>
      <c r="K1063" t="s">
        <v>2253</v>
      </c>
      <c r="L1063" t="s">
        <v>161</v>
      </c>
      <c r="M1063" t="s">
        <v>91</v>
      </c>
      <c r="N1063" t="s">
        <v>2379</v>
      </c>
      <c r="O1063">
        <v>1</v>
      </c>
      <c r="P1063">
        <v>0</v>
      </c>
      <c r="Q1063">
        <v>0</v>
      </c>
      <c r="R1063" s="1">
        <v>46206.635671296295</v>
      </c>
      <c r="S1063" s="1">
        <v>46206.635671296295</v>
      </c>
    </row>
    <row r="1064" spans="1:19" x14ac:dyDescent="0.25">
      <c r="A1064">
        <v>2010111315</v>
      </c>
      <c r="B1064" t="s">
        <v>28</v>
      </c>
      <c r="C1064" t="s">
        <v>29</v>
      </c>
      <c r="D1064" t="s">
        <v>2409</v>
      </c>
      <c r="E1064" t="s">
        <v>2410</v>
      </c>
      <c r="F1064" t="e">
        <f>--ds-btn-block-danger-outline</f>
        <v>#NAME?</v>
      </c>
      <c r="G1064" t="s">
        <v>94</v>
      </c>
      <c r="H1064" t="s">
        <v>94</v>
      </c>
      <c r="I1064" t="s">
        <v>32</v>
      </c>
      <c r="J1064" t="s">
        <v>69</v>
      </c>
      <c r="K1064" t="s">
        <v>2253</v>
      </c>
      <c r="L1064" t="s">
        <v>161</v>
      </c>
      <c r="M1064" t="s">
        <v>95</v>
      </c>
      <c r="N1064" t="s">
        <v>2379</v>
      </c>
      <c r="O1064">
        <v>1</v>
      </c>
      <c r="P1064">
        <v>0</v>
      </c>
      <c r="Q1064">
        <v>0</v>
      </c>
      <c r="R1064" s="1">
        <v>46206.635671296295</v>
      </c>
      <c r="S1064" s="1">
        <v>46206.635671296295</v>
      </c>
    </row>
    <row r="1065" spans="1:19" x14ac:dyDescent="0.25">
      <c r="A1065">
        <v>2010111316</v>
      </c>
      <c r="B1065" t="s">
        <v>28</v>
      </c>
      <c r="C1065" t="s">
        <v>29</v>
      </c>
      <c r="D1065" t="s">
        <v>2411</v>
      </c>
      <c r="E1065" t="s">
        <v>2412</v>
      </c>
      <c r="F1065" t="e">
        <f>--ds-btn-block-danger-transition</f>
        <v>#NAME?</v>
      </c>
      <c r="G1065" t="s">
        <v>98</v>
      </c>
      <c r="H1065" t="s">
        <v>98</v>
      </c>
      <c r="I1065" t="s">
        <v>32</v>
      </c>
      <c r="J1065" t="s">
        <v>69</v>
      </c>
      <c r="K1065" t="s">
        <v>2253</v>
      </c>
      <c r="L1065" t="s">
        <v>161</v>
      </c>
      <c r="M1065" t="s">
        <v>99</v>
      </c>
      <c r="N1065" t="s">
        <v>2379</v>
      </c>
      <c r="O1065">
        <v>1</v>
      </c>
      <c r="P1065">
        <v>0</v>
      </c>
      <c r="Q1065">
        <v>0</v>
      </c>
      <c r="R1065" s="1">
        <v>46206.635671296295</v>
      </c>
      <c r="S1065" s="1">
        <v>46206.635671296295</v>
      </c>
    </row>
    <row r="1066" spans="1:19" x14ac:dyDescent="0.25">
      <c r="A1066">
        <v>2010111317</v>
      </c>
      <c r="B1066" t="s">
        <v>28</v>
      </c>
      <c r="C1066" t="s">
        <v>29</v>
      </c>
      <c r="D1066" t="s">
        <v>2413</v>
      </c>
      <c r="E1066" t="s">
        <v>2414</v>
      </c>
      <c r="F1066" t="e">
        <f>--ds-btn-block-danger-icon-color</f>
        <v>#NAME?</v>
      </c>
      <c r="G1066" t="s">
        <v>37</v>
      </c>
      <c r="H1066" t="s">
        <v>37</v>
      </c>
      <c r="I1066" t="s">
        <v>32</v>
      </c>
      <c r="J1066" t="s">
        <v>24</v>
      </c>
      <c r="K1066" t="s">
        <v>2253</v>
      </c>
      <c r="L1066" t="s">
        <v>161</v>
      </c>
      <c r="M1066" t="s">
        <v>102</v>
      </c>
      <c r="N1066" t="s">
        <v>2379</v>
      </c>
      <c r="O1066">
        <v>1</v>
      </c>
      <c r="P1066">
        <v>0</v>
      </c>
      <c r="Q1066">
        <v>0</v>
      </c>
      <c r="R1066" s="1">
        <v>46206.635671296295</v>
      </c>
      <c r="S1066" s="1">
        <v>46206.635671296295</v>
      </c>
    </row>
    <row r="1067" spans="1:19" x14ac:dyDescent="0.25">
      <c r="A1067">
        <v>2010111318</v>
      </c>
      <c r="B1067" t="s">
        <v>28</v>
      </c>
      <c r="C1067" t="s">
        <v>29</v>
      </c>
      <c r="D1067" t="s">
        <v>2415</v>
      </c>
      <c r="E1067" t="s">
        <v>2416</v>
      </c>
      <c r="F1067" t="e">
        <f>--ds-btn-block-danger-icon-size</f>
        <v>#NAME?</v>
      </c>
      <c r="G1067" t="s">
        <v>105</v>
      </c>
      <c r="H1067" t="s">
        <v>105</v>
      </c>
      <c r="I1067" t="s">
        <v>32</v>
      </c>
      <c r="J1067" t="s">
        <v>78</v>
      </c>
      <c r="K1067" t="s">
        <v>2253</v>
      </c>
      <c r="L1067" t="s">
        <v>161</v>
      </c>
      <c r="M1067" t="s">
        <v>106</v>
      </c>
      <c r="N1067" t="s">
        <v>2379</v>
      </c>
      <c r="O1067">
        <v>1</v>
      </c>
      <c r="P1067">
        <v>0</v>
      </c>
      <c r="Q1067">
        <v>0</v>
      </c>
      <c r="R1067" s="1">
        <v>46206.635671296295</v>
      </c>
      <c r="S1067" s="1">
        <v>46206.635671296295</v>
      </c>
    </row>
    <row r="1068" spans="1:19" x14ac:dyDescent="0.25">
      <c r="A1068">
        <v>2010111319</v>
      </c>
      <c r="B1068" t="s">
        <v>28</v>
      </c>
      <c r="C1068" t="s">
        <v>29</v>
      </c>
      <c r="D1068" t="s">
        <v>2417</v>
      </c>
      <c r="E1068" t="s">
        <v>2418</v>
      </c>
      <c r="F1068" t="e">
        <f>--ds-btn-block-danger-line-height</f>
        <v>#NAME?</v>
      </c>
      <c r="G1068">
        <v>1.2</v>
      </c>
      <c r="H1068">
        <v>1.2</v>
      </c>
      <c r="I1068" t="s">
        <v>32</v>
      </c>
      <c r="J1068" t="s">
        <v>78</v>
      </c>
      <c r="K1068" t="s">
        <v>2253</v>
      </c>
      <c r="L1068" t="s">
        <v>161</v>
      </c>
      <c r="M1068" t="s">
        <v>109</v>
      </c>
      <c r="N1068" t="s">
        <v>2379</v>
      </c>
      <c r="O1068">
        <v>1</v>
      </c>
      <c r="P1068">
        <v>0</v>
      </c>
      <c r="Q1068">
        <v>0</v>
      </c>
      <c r="R1068" s="1">
        <v>46206.635671296295</v>
      </c>
      <c r="S1068" s="1">
        <v>46206.635671296295</v>
      </c>
    </row>
    <row r="1069" spans="1:19" x14ac:dyDescent="0.25">
      <c r="A1069">
        <v>2010111400</v>
      </c>
      <c r="B1069" t="s">
        <v>28</v>
      </c>
      <c r="C1069" t="s">
        <v>29</v>
      </c>
      <c r="D1069" t="s">
        <v>2419</v>
      </c>
      <c r="E1069" t="s">
        <v>2420</v>
      </c>
      <c r="F1069" t="e">
        <f>--ds-btn-block-warning-bg</f>
        <v>#NAME?</v>
      </c>
      <c r="G1069" t="s">
        <v>182</v>
      </c>
      <c r="H1069" t="s">
        <v>182</v>
      </c>
      <c r="I1069" t="s">
        <v>32</v>
      </c>
      <c r="J1069" t="s">
        <v>24</v>
      </c>
      <c r="K1069" t="s">
        <v>2253</v>
      </c>
      <c r="L1069" t="s">
        <v>183</v>
      </c>
      <c r="M1069" t="s">
        <v>26</v>
      </c>
      <c r="N1069" t="s">
        <v>2421</v>
      </c>
      <c r="O1069">
        <v>1</v>
      </c>
      <c r="P1069">
        <v>0</v>
      </c>
      <c r="Q1069">
        <v>0</v>
      </c>
      <c r="R1069" s="1">
        <v>46206.636157407411</v>
      </c>
      <c r="S1069" s="1">
        <v>46206.636157407411</v>
      </c>
    </row>
    <row r="1070" spans="1:19" x14ac:dyDescent="0.25">
      <c r="A1070">
        <v>2010111401</v>
      </c>
      <c r="B1070" t="s">
        <v>28</v>
      </c>
      <c r="C1070" t="s">
        <v>29</v>
      </c>
      <c r="D1070" t="s">
        <v>2422</v>
      </c>
      <c r="E1070" t="s">
        <v>2423</v>
      </c>
      <c r="F1070" t="e">
        <f>--ds-btn-block-warning-text</f>
        <v>#NAME?</v>
      </c>
      <c r="G1070" t="s">
        <v>117</v>
      </c>
      <c r="H1070" t="s">
        <v>117</v>
      </c>
      <c r="I1070" t="s">
        <v>32</v>
      </c>
      <c r="J1070" t="s">
        <v>24</v>
      </c>
      <c r="K1070" t="s">
        <v>2253</v>
      </c>
      <c r="L1070" t="s">
        <v>183</v>
      </c>
      <c r="M1070" t="s">
        <v>38</v>
      </c>
      <c r="N1070" t="s">
        <v>2421</v>
      </c>
      <c r="O1070">
        <v>1</v>
      </c>
      <c r="P1070">
        <v>0</v>
      </c>
      <c r="Q1070">
        <v>0</v>
      </c>
      <c r="R1070" s="1">
        <v>46206.636157407411</v>
      </c>
      <c r="S1070" s="1">
        <v>46206.636157407411</v>
      </c>
    </row>
    <row r="1071" spans="1:19" x14ac:dyDescent="0.25">
      <c r="A1071">
        <v>2010111402</v>
      </c>
      <c r="B1071" t="s">
        <v>28</v>
      </c>
      <c r="C1071" t="s">
        <v>29</v>
      </c>
      <c r="D1071" t="s">
        <v>2424</v>
      </c>
      <c r="E1071" t="s">
        <v>2425</v>
      </c>
      <c r="F1071" t="e">
        <f>--ds-btn-block-warning-border</f>
        <v>#NAME?</v>
      </c>
      <c r="G1071" t="s">
        <v>191</v>
      </c>
      <c r="H1071" t="s">
        <v>191</v>
      </c>
      <c r="I1071" t="s">
        <v>32</v>
      </c>
      <c r="J1071" t="s">
        <v>24</v>
      </c>
      <c r="K1071" t="s">
        <v>2253</v>
      </c>
      <c r="L1071" t="s">
        <v>183</v>
      </c>
      <c r="M1071" t="s">
        <v>42</v>
      </c>
      <c r="N1071" t="s">
        <v>2421</v>
      </c>
      <c r="O1071">
        <v>1</v>
      </c>
      <c r="P1071">
        <v>0</v>
      </c>
      <c r="Q1071">
        <v>0</v>
      </c>
      <c r="R1071" s="1">
        <v>46206.636157407411</v>
      </c>
      <c r="S1071" s="1">
        <v>46206.636157407411</v>
      </c>
    </row>
    <row r="1072" spans="1:19" x14ac:dyDescent="0.25">
      <c r="A1072">
        <v>2010111403</v>
      </c>
      <c r="B1072" t="s">
        <v>28</v>
      </c>
      <c r="C1072" t="s">
        <v>29</v>
      </c>
      <c r="D1072" t="s">
        <v>2426</v>
      </c>
      <c r="E1072" t="s">
        <v>2427</v>
      </c>
      <c r="F1072" t="e">
        <f>--ds-btn-block-warning-hover-bg</f>
        <v>#NAME?</v>
      </c>
      <c r="G1072" t="s">
        <v>999</v>
      </c>
      <c r="H1072" t="s">
        <v>999</v>
      </c>
      <c r="I1072" t="s">
        <v>32</v>
      </c>
      <c r="J1072" t="s">
        <v>24</v>
      </c>
      <c r="K1072" t="s">
        <v>2253</v>
      </c>
      <c r="L1072" t="s">
        <v>183</v>
      </c>
      <c r="M1072" t="s">
        <v>46</v>
      </c>
      <c r="N1072" t="s">
        <v>2421</v>
      </c>
      <c r="O1072">
        <v>1</v>
      </c>
      <c r="P1072">
        <v>0</v>
      </c>
      <c r="Q1072">
        <v>0</v>
      </c>
      <c r="R1072" s="1">
        <v>46206.636157407411</v>
      </c>
      <c r="S1072" s="1">
        <v>46206.636157407411</v>
      </c>
    </row>
    <row r="1073" spans="1:19" x14ac:dyDescent="0.25">
      <c r="A1073">
        <v>2010111404</v>
      </c>
      <c r="B1073" t="s">
        <v>28</v>
      </c>
      <c r="C1073" t="s">
        <v>29</v>
      </c>
      <c r="D1073" t="s">
        <v>2428</v>
      </c>
      <c r="E1073" t="s">
        <v>2429</v>
      </c>
      <c r="F1073" t="e">
        <f>--ds-btn-block-warning-hover-text</f>
        <v>#NAME?</v>
      </c>
      <c r="G1073" t="s">
        <v>117</v>
      </c>
      <c r="H1073" t="s">
        <v>117</v>
      </c>
      <c r="I1073" t="s">
        <v>32</v>
      </c>
      <c r="J1073" t="s">
        <v>24</v>
      </c>
      <c r="K1073" t="s">
        <v>2253</v>
      </c>
      <c r="L1073" t="s">
        <v>183</v>
      </c>
      <c r="M1073" t="s">
        <v>49</v>
      </c>
      <c r="N1073" t="s">
        <v>2421</v>
      </c>
      <c r="O1073">
        <v>1</v>
      </c>
      <c r="P1073">
        <v>0</v>
      </c>
      <c r="Q1073">
        <v>0</v>
      </c>
      <c r="R1073" s="1">
        <v>46206.636157407411</v>
      </c>
      <c r="S1073" s="1">
        <v>46206.636157407411</v>
      </c>
    </row>
    <row r="1074" spans="1:19" x14ac:dyDescent="0.25">
      <c r="A1074">
        <v>2010111405</v>
      </c>
      <c r="B1074" t="s">
        <v>28</v>
      </c>
      <c r="C1074" t="s">
        <v>29</v>
      </c>
      <c r="D1074" t="s">
        <v>2430</v>
      </c>
      <c r="E1074" t="s">
        <v>2431</v>
      </c>
      <c r="F1074" t="e">
        <f>--ds-btn-block-warning-hover-border</f>
        <v>#NAME?</v>
      </c>
      <c r="G1074" t="s">
        <v>2432</v>
      </c>
      <c r="H1074" t="s">
        <v>2432</v>
      </c>
      <c r="I1074" t="s">
        <v>32</v>
      </c>
      <c r="J1074" t="s">
        <v>24</v>
      </c>
      <c r="K1074" t="s">
        <v>2253</v>
      </c>
      <c r="L1074" t="s">
        <v>183</v>
      </c>
      <c r="M1074" t="s">
        <v>53</v>
      </c>
      <c r="N1074" t="s">
        <v>2421</v>
      </c>
      <c r="O1074">
        <v>1</v>
      </c>
      <c r="P1074">
        <v>0</v>
      </c>
      <c r="Q1074">
        <v>0</v>
      </c>
      <c r="R1074" s="1">
        <v>46206.636157407411</v>
      </c>
      <c r="S1074" s="1">
        <v>46206.636157407411</v>
      </c>
    </row>
    <row r="1075" spans="1:19" x14ac:dyDescent="0.25">
      <c r="A1075">
        <v>2010111406</v>
      </c>
      <c r="B1075" t="s">
        <v>28</v>
      </c>
      <c r="C1075" t="s">
        <v>29</v>
      </c>
      <c r="D1075" t="s">
        <v>2433</v>
      </c>
      <c r="E1075" t="s">
        <v>2434</v>
      </c>
      <c r="F1075" t="e">
        <f>--ds-btn-block-warning-disabled-bg</f>
        <v>#NAME?</v>
      </c>
      <c r="G1075" t="s">
        <v>507</v>
      </c>
      <c r="H1075" t="s">
        <v>507</v>
      </c>
      <c r="I1075" t="s">
        <v>32</v>
      </c>
      <c r="J1075" t="s">
        <v>24</v>
      </c>
      <c r="K1075" t="s">
        <v>2253</v>
      </c>
      <c r="L1075" t="s">
        <v>183</v>
      </c>
      <c r="M1075" t="s">
        <v>57</v>
      </c>
      <c r="N1075" t="s">
        <v>2421</v>
      </c>
      <c r="O1075">
        <v>1</v>
      </c>
      <c r="P1075">
        <v>0</v>
      </c>
      <c r="Q1075">
        <v>0</v>
      </c>
      <c r="R1075" s="1">
        <v>46206.636157407411</v>
      </c>
      <c r="S1075" s="1">
        <v>46206.636157407411</v>
      </c>
    </row>
    <row r="1076" spans="1:19" x14ac:dyDescent="0.25">
      <c r="A1076">
        <v>2010111407</v>
      </c>
      <c r="B1076" t="s">
        <v>28</v>
      </c>
      <c r="C1076" t="s">
        <v>29</v>
      </c>
      <c r="D1076" t="s">
        <v>2435</v>
      </c>
      <c r="E1076" t="s">
        <v>2436</v>
      </c>
      <c r="F1076" t="e">
        <f>--ds-btn-block-warning-disabled-text</f>
        <v>#NAME?</v>
      </c>
      <c r="G1076" t="s">
        <v>60</v>
      </c>
      <c r="H1076" t="s">
        <v>60</v>
      </c>
      <c r="I1076" t="s">
        <v>32</v>
      </c>
      <c r="J1076" t="s">
        <v>24</v>
      </c>
      <c r="K1076" t="s">
        <v>2253</v>
      </c>
      <c r="L1076" t="s">
        <v>183</v>
      </c>
      <c r="M1076" t="s">
        <v>61</v>
      </c>
      <c r="N1076" t="s">
        <v>2421</v>
      </c>
      <c r="O1076">
        <v>1</v>
      </c>
      <c r="P1076">
        <v>0</v>
      </c>
      <c r="Q1076">
        <v>0</v>
      </c>
      <c r="R1076" s="1">
        <v>46206.636157407411</v>
      </c>
      <c r="S1076" s="1">
        <v>46206.636157407411</v>
      </c>
    </row>
    <row r="1077" spans="1:19" x14ac:dyDescent="0.25">
      <c r="A1077">
        <v>2010111408</v>
      </c>
      <c r="B1077" t="s">
        <v>28</v>
      </c>
      <c r="C1077" t="s">
        <v>29</v>
      </c>
      <c r="D1077" t="s">
        <v>2437</v>
      </c>
      <c r="E1077" t="s">
        <v>2438</v>
      </c>
      <c r="F1077" t="e">
        <f>--ds-btn-block-warning-disabled-border</f>
        <v>#NAME?</v>
      </c>
      <c r="G1077" t="s">
        <v>2439</v>
      </c>
      <c r="H1077" t="s">
        <v>2439</v>
      </c>
      <c r="I1077" t="s">
        <v>32</v>
      </c>
      <c r="J1077" t="s">
        <v>24</v>
      </c>
      <c r="K1077" t="s">
        <v>2253</v>
      </c>
      <c r="L1077" t="s">
        <v>183</v>
      </c>
      <c r="M1077" t="s">
        <v>65</v>
      </c>
      <c r="N1077" t="s">
        <v>2421</v>
      </c>
      <c r="O1077">
        <v>1</v>
      </c>
      <c r="P1077">
        <v>0</v>
      </c>
      <c r="Q1077">
        <v>0</v>
      </c>
      <c r="R1077" s="1">
        <v>46206.636157407411</v>
      </c>
      <c r="S1077" s="1">
        <v>46206.636157407411</v>
      </c>
    </row>
    <row r="1078" spans="1:19" x14ac:dyDescent="0.25">
      <c r="A1078">
        <v>2010111409</v>
      </c>
      <c r="B1078" t="s">
        <v>28</v>
      </c>
      <c r="C1078" t="s">
        <v>29</v>
      </c>
      <c r="D1078" t="s">
        <v>2440</v>
      </c>
      <c r="E1078" t="s">
        <v>2441</v>
      </c>
      <c r="F1078" t="e">
        <f>--ds-btn-block-warning-shadow</f>
        <v>#NAME?</v>
      </c>
      <c r="G1078" t="s">
        <v>68</v>
      </c>
      <c r="H1078" t="s">
        <v>68</v>
      </c>
      <c r="I1078" t="s">
        <v>32</v>
      </c>
      <c r="J1078" t="s">
        <v>69</v>
      </c>
      <c r="K1078" t="s">
        <v>2253</v>
      </c>
      <c r="L1078" t="s">
        <v>183</v>
      </c>
      <c r="M1078" t="s">
        <v>70</v>
      </c>
      <c r="N1078" t="s">
        <v>2421</v>
      </c>
      <c r="O1078">
        <v>1</v>
      </c>
      <c r="P1078">
        <v>0</v>
      </c>
      <c r="Q1078">
        <v>0</v>
      </c>
      <c r="R1078" s="1">
        <v>46206.636157407411</v>
      </c>
      <c r="S1078" s="1">
        <v>46206.636157407411</v>
      </c>
    </row>
    <row r="1079" spans="1:19" x14ac:dyDescent="0.25">
      <c r="A1079">
        <v>2010111410</v>
      </c>
      <c r="B1079" t="s">
        <v>28</v>
      </c>
      <c r="C1079" t="s">
        <v>29</v>
      </c>
      <c r="D1079" t="s">
        <v>2442</v>
      </c>
      <c r="E1079" t="s">
        <v>2443</v>
      </c>
      <c r="F1079" t="e">
        <f>--ds-btn-block-warning-radius</f>
        <v>#NAME?</v>
      </c>
      <c r="G1079" t="s">
        <v>73</v>
      </c>
      <c r="H1079" t="s">
        <v>73</v>
      </c>
      <c r="I1079" t="s">
        <v>32</v>
      </c>
      <c r="J1079" t="s">
        <v>69</v>
      </c>
      <c r="K1079" t="s">
        <v>2253</v>
      </c>
      <c r="L1079" t="s">
        <v>183</v>
      </c>
      <c r="M1079" t="s">
        <v>74</v>
      </c>
      <c r="N1079" t="s">
        <v>2421</v>
      </c>
      <c r="O1079">
        <v>1</v>
      </c>
      <c r="P1079">
        <v>0</v>
      </c>
      <c r="Q1079">
        <v>0</v>
      </c>
      <c r="R1079" s="1">
        <v>46206.636157407411</v>
      </c>
      <c r="S1079" s="1">
        <v>46206.636157407411</v>
      </c>
    </row>
    <row r="1080" spans="1:19" x14ac:dyDescent="0.25">
      <c r="A1080">
        <v>2010111411</v>
      </c>
      <c r="B1080" t="s">
        <v>28</v>
      </c>
      <c r="C1080" t="s">
        <v>29</v>
      </c>
      <c r="D1080" t="s">
        <v>2444</v>
      </c>
      <c r="E1080" t="s">
        <v>2445</v>
      </c>
      <c r="F1080" t="e">
        <f>--ds-btn-block-warning-padding-x</f>
        <v>#NAME?</v>
      </c>
      <c r="G1080" t="s">
        <v>77</v>
      </c>
      <c r="H1080" t="s">
        <v>77</v>
      </c>
      <c r="I1080" t="s">
        <v>32</v>
      </c>
      <c r="J1080" t="s">
        <v>78</v>
      </c>
      <c r="K1080" t="s">
        <v>2253</v>
      </c>
      <c r="L1080" t="s">
        <v>183</v>
      </c>
      <c r="M1080" t="s">
        <v>79</v>
      </c>
      <c r="N1080" t="s">
        <v>2421</v>
      </c>
      <c r="O1080">
        <v>1</v>
      </c>
      <c r="P1080">
        <v>0</v>
      </c>
      <c r="Q1080">
        <v>0</v>
      </c>
      <c r="R1080" s="1">
        <v>46206.636157407411</v>
      </c>
      <c r="S1080" s="1">
        <v>46206.636157407411</v>
      </c>
    </row>
    <row r="1081" spans="1:19" x14ac:dyDescent="0.25">
      <c r="A1081">
        <v>2010111412</v>
      </c>
      <c r="B1081" t="s">
        <v>28</v>
      </c>
      <c r="C1081" t="s">
        <v>29</v>
      </c>
      <c r="D1081" t="s">
        <v>2446</v>
      </c>
      <c r="E1081" t="s">
        <v>2447</v>
      </c>
      <c r="F1081" t="e">
        <f>--ds-btn-block-warning-padding-y</f>
        <v>#NAME?</v>
      </c>
      <c r="G1081" t="s">
        <v>82</v>
      </c>
      <c r="H1081" t="s">
        <v>82</v>
      </c>
      <c r="I1081" t="s">
        <v>32</v>
      </c>
      <c r="J1081" t="s">
        <v>78</v>
      </c>
      <c r="K1081" t="s">
        <v>2253</v>
      </c>
      <c r="L1081" t="s">
        <v>183</v>
      </c>
      <c r="M1081" t="s">
        <v>83</v>
      </c>
      <c r="N1081" t="s">
        <v>2421</v>
      </c>
      <c r="O1081">
        <v>1</v>
      </c>
      <c r="P1081">
        <v>0</v>
      </c>
      <c r="Q1081">
        <v>0</v>
      </c>
      <c r="R1081" s="1">
        <v>46206.636157407411</v>
      </c>
      <c r="S1081" s="1">
        <v>46206.636157407411</v>
      </c>
    </row>
    <row r="1082" spans="1:19" x14ac:dyDescent="0.25">
      <c r="A1082">
        <v>2010111413</v>
      </c>
      <c r="B1082" t="s">
        <v>28</v>
      </c>
      <c r="C1082" t="s">
        <v>29</v>
      </c>
      <c r="D1082" t="s">
        <v>2448</v>
      </c>
      <c r="E1082" t="s">
        <v>2449</v>
      </c>
      <c r="F1082" t="e">
        <f>--ds-btn-block-warning-gap</f>
        <v>#NAME?</v>
      </c>
      <c r="G1082" t="s">
        <v>86</v>
      </c>
      <c r="H1082" t="s">
        <v>86</v>
      </c>
      <c r="I1082" t="s">
        <v>32</v>
      </c>
      <c r="J1082" t="s">
        <v>78</v>
      </c>
      <c r="K1082" t="s">
        <v>2253</v>
      </c>
      <c r="L1082" t="s">
        <v>183</v>
      </c>
      <c r="M1082" t="s">
        <v>87</v>
      </c>
      <c r="N1082" t="s">
        <v>2421</v>
      </c>
      <c r="O1082">
        <v>1</v>
      </c>
      <c r="P1082">
        <v>0</v>
      </c>
      <c r="Q1082">
        <v>0</v>
      </c>
      <c r="R1082" s="1">
        <v>46206.636157407411</v>
      </c>
      <c r="S1082" s="1">
        <v>46206.636157407411</v>
      </c>
    </row>
    <row r="1083" spans="1:19" x14ac:dyDescent="0.25">
      <c r="A1083">
        <v>2010111414</v>
      </c>
      <c r="B1083" t="s">
        <v>28</v>
      </c>
      <c r="C1083" t="s">
        <v>29</v>
      </c>
      <c r="D1083" t="s">
        <v>2450</v>
      </c>
      <c r="E1083" t="s">
        <v>2451</v>
      </c>
      <c r="F1083" t="e">
        <f>--ds-btn-block-warning-focus-ring</f>
        <v>#NAME?</v>
      </c>
      <c r="G1083" t="s">
        <v>1359</v>
      </c>
      <c r="H1083" t="s">
        <v>1359</v>
      </c>
      <c r="I1083" t="s">
        <v>32</v>
      </c>
      <c r="J1083" t="s">
        <v>69</v>
      </c>
      <c r="K1083" t="s">
        <v>2253</v>
      </c>
      <c r="L1083" t="s">
        <v>183</v>
      </c>
      <c r="M1083" t="s">
        <v>91</v>
      </c>
      <c r="N1083" t="s">
        <v>2421</v>
      </c>
      <c r="O1083">
        <v>1</v>
      </c>
      <c r="P1083">
        <v>0</v>
      </c>
      <c r="Q1083">
        <v>0</v>
      </c>
      <c r="R1083" s="1">
        <v>46206.636157407411</v>
      </c>
      <c r="S1083" s="1">
        <v>46206.636157407411</v>
      </c>
    </row>
    <row r="1084" spans="1:19" x14ac:dyDescent="0.25">
      <c r="A1084">
        <v>2010111415</v>
      </c>
      <c r="B1084" t="s">
        <v>28</v>
      </c>
      <c r="C1084" t="s">
        <v>29</v>
      </c>
      <c r="D1084" t="s">
        <v>2452</v>
      </c>
      <c r="E1084" t="s">
        <v>2453</v>
      </c>
      <c r="F1084" t="e">
        <f>--ds-btn-block-warning-outline</f>
        <v>#NAME?</v>
      </c>
      <c r="G1084" t="s">
        <v>94</v>
      </c>
      <c r="H1084" t="s">
        <v>94</v>
      </c>
      <c r="I1084" t="s">
        <v>32</v>
      </c>
      <c r="J1084" t="s">
        <v>69</v>
      </c>
      <c r="K1084" t="s">
        <v>2253</v>
      </c>
      <c r="L1084" t="s">
        <v>183</v>
      </c>
      <c r="M1084" t="s">
        <v>95</v>
      </c>
      <c r="N1084" t="s">
        <v>2421</v>
      </c>
      <c r="O1084">
        <v>1</v>
      </c>
      <c r="P1084">
        <v>0</v>
      </c>
      <c r="Q1084">
        <v>0</v>
      </c>
      <c r="R1084" s="1">
        <v>46206.636157407411</v>
      </c>
      <c r="S1084" s="1">
        <v>46206.636157407411</v>
      </c>
    </row>
    <row r="1085" spans="1:19" x14ac:dyDescent="0.25">
      <c r="A1085">
        <v>2010111416</v>
      </c>
      <c r="B1085" t="s">
        <v>28</v>
      </c>
      <c r="C1085" t="s">
        <v>29</v>
      </c>
      <c r="D1085" t="s">
        <v>2454</v>
      </c>
      <c r="E1085" t="s">
        <v>2455</v>
      </c>
      <c r="F1085" t="e">
        <f>--ds-btn-block-warning-transition</f>
        <v>#NAME?</v>
      </c>
      <c r="G1085" t="s">
        <v>98</v>
      </c>
      <c r="H1085" t="s">
        <v>98</v>
      </c>
      <c r="I1085" t="s">
        <v>32</v>
      </c>
      <c r="J1085" t="s">
        <v>69</v>
      </c>
      <c r="K1085" t="s">
        <v>2253</v>
      </c>
      <c r="L1085" t="s">
        <v>183</v>
      </c>
      <c r="M1085" t="s">
        <v>99</v>
      </c>
      <c r="N1085" t="s">
        <v>2421</v>
      </c>
      <c r="O1085">
        <v>1</v>
      </c>
      <c r="P1085">
        <v>0</v>
      </c>
      <c r="Q1085">
        <v>0</v>
      </c>
      <c r="R1085" s="1">
        <v>46206.636157407411</v>
      </c>
      <c r="S1085" s="1">
        <v>46206.636157407411</v>
      </c>
    </row>
    <row r="1086" spans="1:19" x14ac:dyDescent="0.25">
      <c r="A1086">
        <v>2010111417</v>
      </c>
      <c r="B1086" t="s">
        <v>28</v>
      </c>
      <c r="C1086" t="s">
        <v>29</v>
      </c>
      <c r="D1086" t="s">
        <v>2456</v>
      </c>
      <c r="E1086" t="s">
        <v>2457</v>
      </c>
      <c r="F1086" t="e">
        <f>--ds-btn-block-warning-icon-color</f>
        <v>#NAME?</v>
      </c>
      <c r="G1086" t="s">
        <v>117</v>
      </c>
      <c r="H1086" t="s">
        <v>117</v>
      </c>
      <c r="I1086" t="s">
        <v>32</v>
      </c>
      <c r="J1086" t="s">
        <v>24</v>
      </c>
      <c r="K1086" t="s">
        <v>2253</v>
      </c>
      <c r="L1086" t="s">
        <v>183</v>
      </c>
      <c r="M1086" t="s">
        <v>102</v>
      </c>
      <c r="N1086" t="s">
        <v>2421</v>
      </c>
      <c r="O1086">
        <v>1</v>
      </c>
      <c r="P1086">
        <v>0</v>
      </c>
      <c r="Q1086">
        <v>0</v>
      </c>
      <c r="R1086" s="1">
        <v>46206.636157407411</v>
      </c>
      <c r="S1086" s="1">
        <v>46206.636157407411</v>
      </c>
    </row>
    <row r="1087" spans="1:19" x14ac:dyDescent="0.25">
      <c r="A1087">
        <v>2010111418</v>
      </c>
      <c r="B1087" t="s">
        <v>28</v>
      </c>
      <c r="C1087" t="s">
        <v>29</v>
      </c>
      <c r="D1087" t="s">
        <v>2458</v>
      </c>
      <c r="E1087" t="s">
        <v>2459</v>
      </c>
      <c r="F1087" t="e">
        <f>--ds-btn-block-warning-icon-size</f>
        <v>#NAME?</v>
      </c>
      <c r="G1087" t="s">
        <v>105</v>
      </c>
      <c r="H1087" t="s">
        <v>105</v>
      </c>
      <c r="I1087" t="s">
        <v>32</v>
      </c>
      <c r="J1087" t="s">
        <v>78</v>
      </c>
      <c r="K1087" t="s">
        <v>2253</v>
      </c>
      <c r="L1087" t="s">
        <v>183</v>
      </c>
      <c r="M1087" t="s">
        <v>106</v>
      </c>
      <c r="N1087" t="s">
        <v>2421</v>
      </c>
      <c r="O1087">
        <v>1</v>
      </c>
      <c r="P1087">
        <v>0</v>
      </c>
      <c r="Q1087">
        <v>0</v>
      </c>
      <c r="R1087" s="1">
        <v>46206.636157407411</v>
      </c>
      <c r="S1087" s="1">
        <v>46206.636157407411</v>
      </c>
    </row>
    <row r="1088" spans="1:19" x14ac:dyDescent="0.25">
      <c r="A1088">
        <v>2010111419</v>
      </c>
      <c r="B1088" t="s">
        <v>28</v>
      </c>
      <c r="C1088" t="s">
        <v>29</v>
      </c>
      <c r="D1088" t="s">
        <v>2460</v>
      </c>
      <c r="E1088" t="s">
        <v>2461</v>
      </c>
      <c r="F1088" t="e">
        <f>--ds-btn-block-warning-line-height</f>
        <v>#NAME?</v>
      </c>
      <c r="G1088">
        <v>1.2</v>
      </c>
      <c r="H1088">
        <v>1.2</v>
      </c>
      <c r="I1088" t="s">
        <v>32</v>
      </c>
      <c r="J1088" t="s">
        <v>78</v>
      </c>
      <c r="K1088" t="s">
        <v>2253</v>
      </c>
      <c r="L1088" t="s">
        <v>183</v>
      </c>
      <c r="M1088" t="s">
        <v>109</v>
      </c>
      <c r="N1088" t="s">
        <v>2421</v>
      </c>
      <c r="O1088">
        <v>1</v>
      </c>
      <c r="P1088">
        <v>0</v>
      </c>
      <c r="Q1088">
        <v>0</v>
      </c>
      <c r="R1088" s="1">
        <v>46206.636157407411</v>
      </c>
      <c r="S1088" s="1">
        <v>46206.636157407411</v>
      </c>
    </row>
    <row r="1089" spans="1:19" x14ac:dyDescent="0.25">
      <c r="A1089">
        <v>2010111500</v>
      </c>
      <c r="B1089" t="s">
        <v>28</v>
      </c>
      <c r="C1089" t="s">
        <v>29</v>
      </c>
      <c r="D1089" t="s">
        <v>2462</v>
      </c>
      <c r="E1089" t="s">
        <v>2463</v>
      </c>
      <c r="F1089" t="e">
        <f>--ds-btn-block-info-bg</f>
        <v>#NAME?</v>
      </c>
      <c r="G1089" t="s">
        <v>204</v>
      </c>
      <c r="H1089" t="s">
        <v>204</v>
      </c>
      <c r="I1089" t="s">
        <v>32</v>
      </c>
      <c r="J1089" t="s">
        <v>24</v>
      </c>
      <c r="K1089" t="s">
        <v>2253</v>
      </c>
      <c r="L1089" t="s">
        <v>205</v>
      </c>
      <c r="M1089" t="s">
        <v>26</v>
      </c>
      <c r="N1089" t="s">
        <v>2464</v>
      </c>
      <c r="O1089">
        <v>1</v>
      </c>
      <c r="P1089">
        <v>0</v>
      </c>
      <c r="Q1089">
        <v>0</v>
      </c>
      <c r="R1089" s="1">
        <v>46206.636516203704</v>
      </c>
      <c r="S1089" s="1">
        <v>46206.636516203704</v>
      </c>
    </row>
    <row r="1090" spans="1:19" x14ac:dyDescent="0.25">
      <c r="A1090">
        <v>2010111501</v>
      </c>
      <c r="B1090" t="s">
        <v>28</v>
      </c>
      <c r="C1090" t="s">
        <v>29</v>
      </c>
      <c r="D1090" t="s">
        <v>2465</v>
      </c>
      <c r="E1090" t="s">
        <v>2466</v>
      </c>
      <c r="F1090" t="e">
        <f>--ds-btn-block-info-text</f>
        <v>#NAME?</v>
      </c>
      <c r="G1090" t="s">
        <v>816</v>
      </c>
      <c r="H1090" t="s">
        <v>816</v>
      </c>
      <c r="I1090" t="s">
        <v>32</v>
      </c>
      <c r="J1090" t="s">
        <v>24</v>
      </c>
      <c r="K1090" t="s">
        <v>2253</v>
      </c>
      <c r="L1090" t="s">
        <v>205</v>
      </c>
      <c r="M1090" t="s">
        <v>38</v>
      </c>
      <c r="N1090" t="s">
        <v>2464</v>
      </c>
      <c r="O1090">
        <v>1</v>
      </c>
      <c r="P1090">
        <v>0</v>
      </c>
      <c r="Q1090">
        <v>0</v>
      </c>
      <c r="R1090" s="1">
        <v>46206.636516203704</v>
      </c>
      <c r="S1090" s="1">
        <v>46206.636516203704</v>
      </c>
    </row>
    <row r="1091" spans="1:19" x14ac:dyDescent="0.25">
      <c r="A1091">
        <v>2010111502</v>
      </c>
      <c r="B1091" t="s">
        <v>28</v>
      </c>
      <c r="C1091" t="s">
        <v>29</v>
      </c>
      <c r="D1091" t="s">
        <v>2467</v>
      </c>
      <c r="E1091" t="s">
        <v>2468</v>
      </c>
      <c r="F1091" t="e">
        <f>--ds-btn-block-info-border</f>
        <v>#NAME?</v>
      </c>
      <c r="G1091" t="s">
        <v>2469</v>
      </c>
      <c r="H1091" t="s">
        <v>2469</v>
      </c>
      <c r="I1091" t="s">
        <v>32</v>
      </c>
      <c r="J1091" t="s">
        <v>24</v>
      </c>
      <c r="K1091" t="s">
        <v>2253</v>
      </c>
      <c r="L1091" t="s">
        <v>205</v>
      </c>
      <c r="M1091" t="s">
        <v>42</v>
      </c>
      <c r="N1091" t="s">
        <v>2464</v>
      </c>
      <c r="O1091">
        <v>1</v>
      </c>
      <c r="P1091">
        <v>0</v>
      </c>
      <c r="Q1091">
        <v>0</v>
      </c>
      <c r="R1091" s="1">
        <v>46206.636516203704</v>
      </c>
      <c r="S1091" s="1">
        <v>46206.636516203704</v>
      </c>
    </row>
    <row r="1092" spans="1:19" x14ac:dyDescent="0.25">
      <c r="A1092">
        <v>2010111503</v>
      </c>
      <c r="B1092" t="s">
        <v>28</v>
      </c>
      <c r="C1092" t="s">
        <v>29</v>
      </c>
      <c r="D1092" t="s">
        <v>2470</v>
      </c>
      <c r="E1092" t="s">
        <v>2471</v>
      </c>
      <c r="F1092" t="e">
        <f>--ds-btn-block-info-hover-bg</f>
        <v>#NAME?</v>
      </c>
      <c r="G1092" t="s">
        <v>2469</v>
      </c>
      <c r="H1092" t="s">
        <v>2469</v>
      </c>
      <c r="I1092" t="s">
        <v>32</v>
      </c>
      <c r="J1092" t="s">
        <v>24</v>
      </c>
      <c r="K1092" t="s">
        <v>2253</v>
      </c>
      <c r="L1092" t="s">
        <v>205</v>
      </c>
      <c r="M1092" t="s">
        <v>46</v>
      </c>
      <c r="N1092" t="s">
        <v>2464</v>
      </c>
      <c r="O1092">
        <v>1</v>
      </c>
      <c r="P1092">
        <v>0</v>
      </c>
      <c r="Q1092">
        <v>0</v>
      </c>
      <c r="R1092" s="1">
        <v>46206.636516203704</v>
      </c>
      <c r="S1092" s="1">
        <v>46206.636516203704</v>
      </c>
    </row>
    <row r="1093" spans="1:19" x14ac:dyDescent="0.25">
      <c r="A1093">
        <v>2010111504</v>
      </c>
      <c r="B1093" t="s">
        <v>28</v>
      </c>
      <c r="C1093" t="s">
        <v>29</v>
      </c>
      <c r="D1093" t="s">
        <v>2472</v>
      </c>
      <c r="E1093" t="s">
        <v>2473</v>
      </c>
      <c r="F1093" t="e">
        <f>--ds-btn-block-info-hover-text</f>
        <v>#NAME?</v>
      </c>
      <c r="G1093" t="s">
        <v>816</v>
      </c>
      <c r="H1093" t="s">
        <v>816</v>
      </c>
      <c r="I1093" t="s">
        <v>32</v>
      </c>
      <c r="J1093" t="s">
        <v>24</v>
      </c>
      <c r="K1093" t="s">
        <v>2253</v>
      </c>
      <c r="L1093" t="s">
        <v>205</v>
      </c>
      <c r="M1093" t="s">
        <v>49</v>
      </c>
      <c r="N1093" t="s">
        <v>2464</v>
      </c>
      <c r="O1093">
        <v>1</v>
      </c>
      <c r="P1093">
        <v>0</v>
      </c>
      <c r="Q1093">
        <v>0</v>
      </c>
      <c r="R1093" s="1">
        <v>46206.636516203704</v>
      </c>
      <c r="S1093" s="1">
        <v>46206.636516203704</v>
      </c>
    </row>
    <row r="1094" spans="1:19" x14ac:dyDescent="0.25">
      <c r="A1094">
        <v>2010111505</v>
      </c>
      <c r="B1094" t="s">
        <v>28</v>
      </c>
      <c r="C1094" t="s">
        <v>29</v>
      </c>
      <c r="D1094" t="s">
        <v>2474</v>
      </c>
      <c r="E1094" t="s">
        <v>2475</v>
      </c>
      <c r="F1094" t="e">
        <f>--ds-btn-block-info-hover-border</f>
        <v>#NAME?</v>
      </c>
      <c r="G1094" t="s">
        <v>2476</v>
      </c>
      <c r="H1094" t="s">
        <v>2476</v>
      </c>
      <c r="I1094" t="s">
        <v>32</v>
      </c>
      <c r="J1094" t="s">
        <v>24</v>
      </c>
      <c r="K1094" t="s">
        <v>2253</v>
      </c>
      <c r="L1094" t="s">
        <v>205</v>
      </c>
      <c r="M1094" t="s">
        <v>53</v>
      </c>
      <c r="N1094" t="s">
        <v>2464</v>
      </c>
      <c r="O1094">
        <v>1</v>
      </c>
      <c r="P1094">
        <v>0</v>
      </c>
      <c r="Q1094">
        <v>0</v>
      </c>
      <c r="R1094" s="1">
        <v>46206.636516203704</v>
      </c>
      <c r="S1094" s="1">
        <v>46206.636516203704</v>
      </c>
    </row>
    <row r="1095" spans="1:19" x14ac:dyDescent="0.25">
      <c r="A1095">
        <v>2010111506</v>
      </c>
      <c r="B1095" t="s">
        <v>28</v>
      </c>
      <c r="C1095" t="s">
        <v>29</v>
      </c>
      <c r="D1095" t="s">
        <v>2477</v>
      </c>
      <c r="E1095" t="s">
        <v>2478</v>
      </c>
      <c r="F1095" t="e">
        <f>--ds-btn-block-info-disabled-bg</f>
        <v>#NAME?</v>
      </c>
      <c r="G1095" t="s">
        <v>530</v>
      </c>
      <c r="H1095" t="s">
        <v>530</v>
      </c>
      <c r="I1095" t="s">
        <v>32</v>
      </c>
      <c r="J1095" t="s">
        <v>24</v>
      </c>
      <c r="K1095" t="s">
        <v>2253</v>
      </c>
      <c r="L1095" t="s">
        <v>205</v>
      </c>
      <c r="M1095" t="s">
        <v>57</v>
      </c>
      <c r="N1095" t="s">
        <v>2464</v>
      </c>
      <c r="O1095">
        <v>1</v>
      </c>
      <c r="P1095">
        <v>0</v>
      </c>
      <c r="Q1095">
        <v>0</v>
      </c>
      <c r="R1095" s="1">
        <v>46206.636516203704</v>
      </c>
      <c r="S1095" s="1">
        <v>46206.636516203704</v>
      </c>
    </row>
    <row r="1096" spans="1:19" x14ac:dyDescent="0.25">
      <c r="A1096">
        <v>2010111507</v>
      </c>
      <c r="B1096" t="s">
        <v>28</v>
      </c>
      <c r="C1096" t="s">
        <v>29</v>
      </c>
      <c r="D1096" t="s">
        <v>2479</v>
      </c>
      <c r="E1096" t="s">
        <v>2480</v>
      </c>
      <c r="F1096" t="e">
        <f>--ds-btn-block-info-disabled-text</f>
        <v>#NAME?</v>
      </c>
      <c r="G1096" t="s">
        <v>60</v>
      </c>
      <c r="H1096" t="s">
        <v>60</v>
      </c>
      <c r="I1096" t="s">
        <v>32</v>
      </c>
      <c r="J1096" t="s">
        <v>24</v>
      </c>
      <c r="K1096" t="s">
        <v>2253</v>
      </c>
      <c r="L1096" t="s">
        <v>205</v>
      </c>
      <c r="M1096" t="s">
        <v>61</v>
      </c>
      <c r="N1096" t="s">
        <v>2464</v>
      </c>
      <c r="O1096">
        <v>1</v>
      </c>
      <c r="P1096">
        <v>0</v>
      </c>
      <c r="Q1096">
        <v>0</v>
      </c>
      <c r="R1096" s="1">
        <v>46206.636516203704</v>
      </c>
      <c r="S1096" s="1">
        <v>46206.636516203704</v>
      </c>
    </row>
    <row r="1097" spans="1:19" x14ac:dyDescent="0.25">
      <c r="A1097">
        <v>2010111508</v>
      </c>
      <c r="B1097" t="s">
        <v>28</v>
      </c>
      <c r="C1097" t="s">
        <v>29</v>
      </c>
      <c r="D1097" t="s">
        <v>2481</v>
      </c>
      <c r="E1097" t="s">
        <v>2482</v>
      </c>
      <c r="F1097" t="e">
        <f>--ds-btn-block-info-disabled-border</f>
        <v>#NAME?</v>
      </c>
      <c r="G1097" t="s">
        <v>2483</v>
      </c>
      <c r="H1097" t="s">
        <v>2483</v>
      </c>
      <c r="I1097" t="s">
        <v>32</v>
      </c>
      <c r="J1097" t="s">
        <v>24</v>
      </c>
      <c r="K1097" t="s">
        <v>2253</v>
      </c>
      <c r="L1097" t="s">
        <v>205</v>
      </c>
      <c r="M1097" t="s">
        <v>65</v>
      </c>
      <c r="N1097" t="s">
        <v>2464</v>
      </c>
      <c r="O1097">
        <v>1</v>
      </c>
      <c r="P1097">
        <v>0</v>
      </c>
      <c r="Q1097">
        <v>0</v>
      </c>
      <c r="R1097" s="1">
        <v>46206.636516203704</v>
      </c>
      <c r="S1097" s="1">
        <v>46206.636516203704</v>
      </c>
    </row>
    <row r="1098" spans="1:19" x14ac:dyDescent="0.25">
      <c r="A1098">
        <v>2010111509</v>
      </c>
      <c r="B1098" t="s">
        <v>28</v>
      </c>
      <c r="C1098" t="s">
        <v>29</v>
      </c>
      <c r="D1098" t="s">
        <v>2484</v>
      </c>
      <c r="E1098" t="s">
        <v>2485</v>
      </c>
      <c r="F1098" t="e">
        <f>--ds-btn-block-info-shadow</f>
        <v>#NAME?</v>
      </c>
      <c r="G1098" t="s">
        <v>68</v>
      </c>
      <c r="H1098" t="s">
        <v>68</v>
      </c>
      <c r="I1098" t="s">
        <v>32</v>
      </c>
      <c r="J1098" t="s">
        <v>69</v>
      </c>
      <c r="K1098" t="s">
        <v>2253</v>
      </c>
      <c r="L1098" t="s">
        <v>205</v>
      </c>
      <c r="M1098" t="s">
        <v>70</v>
      </c>
      <c r="N1098" t="s">
        <v>2464</v>
      </c>
      <c r="O1098">
        <v>1</v>
      </c>
      <c r="P1098">
        <v>0</v>
      </c>
      <c r="Q1098">
        <v>0</v>
      </c>
      <c r="R1098" s="1">
        <v>46206.636516203704</v>
      </c>
      <c r="S1098" s="1">
        <v>46206.636516203704</v>
      </c>
    </row>
    <row r="1099" spans="1:19" x14ac:dyDescent="0.25">
      <c r="A1099">
        <v>2010111510</v>
      </c>
      <c r="B1099" t="s">
        <v>28</v>
      </c>
      <c r="C1099" t="s">
        <v>29</v>
      </c>
      <c r="D1099" t="s">
        <v>2486</v>
      </c>
      <c r="E1099" t="s">
        <v>2487</v>
      </c>
      <c r="F1099" t="e">
        <f>--ds-btn-block-info-radius</f>
        <v>#NAME?</v>
      </c>
      <c r="G1099" t="s">
        <v>73</v>
      </c>
      <c r="H1099" t="s">
        <v>73</v>
      </c>
      <c r="I1099" t="s">
        <v>32</v>
      </c>
      <c r="J1099" t="s">
        <v>69</v>
      </c>
      <c r="K1099" t="s">
        <v>2253</v>
      </c>
      <c r="L1099" t="s">
        <v>205</v>
      </c>
      <c r="M1099" t="s">
        <v>74</v>
      </c>
      <c r="N1099" t="s">
        <v>2464</v>
      </c>
      <c r="O1099">
        <v>1</v>
      </c>
      <c r="P1099">
        <v>0</v>
      </c>
      <c r="Q1099">
        <v>0</v>
      </c>
      <c r="R1099" s="1">
        <v>46206.636516203704</v>
      </c>
      <c r="S1099" s="1">
        <v>46206.636516203704</v>
      </c>
    </row>
    <row r="1100" spans="1:19" x14ac:dyDescent="0.25">
      <c r="A1100">
        <v>2010111511</v>
      </c>
      <c r="B1100" t="s">
        <v>28</v>
      </c>
      <c r="C1100" t="s">
        <v>29</v>
      </c>
      <c r="D1100" t="s">
        <v>2488</v>
      </c>
      <c r="E1100" t="s">
        <v>2489</v>
      </c>
      <c r="F1100" t="e">
        <f>--ds-btn-block-info-padding-x</f>
        <v>#NAME?</v>
      </c>
      <c r="G1100" t="s">
        <v>77</v>
      </c>
      <c r="H1100" t="s">
        <v>77</v>
      </c>
      <c r="I1100" t="s">
        <v>32</v>
      </c>
      <c r="J1100" t="s">
        <v>78</v>
      </c>
      <c r="K1100" t="s">
        <v>2253</v>
      </c>
      <c r="L1100" t="s">
        <v>205</v>
      </c>
      <c r="M1100" t="s">
        <v>79</v>
      </c>
      <c r="N1100" t="s">
        <v>2464</v>
      </c>
      <c r="O1100">
        <v>1</v>
      </c>
      <c r="P1100">
        <v>0</v>
      </c>
      <c r="Q1100">
        <v>0</v>
      </c>
      <c r="R1100" s="1">
        <v>46206.636516203704</v>
      </c>
      <c r="S1100" s="1">
        <v>46206.636516203704</v>
      </c>
    </row>
    <row r="1101" spans="1:19" x14ac:dyDescent="0.25">
      <c r="A1101">
        <v>2010111512</v>
      </c>
      <c r="B1101" t="s">
        <v>28</v>
      </c>
      <c r="C1101" t="s">
        <v>29</v>
      </c>
      <c r="D1101" t="s">
        <v>2490</v>
      </c>
      <c r="E1101" t="s">
        <v>2491</v>
      </c>
      <c r="F1101" t="e">
        <f>--ds-btn-block-info-padding-y</f>
        <v>#NAME?</v>
      </c>
      <c r="G1101" t="s">
        <v>82</v>
      </c>
      <c r="H1101" t="s">
        <v>82</v>
      </c>
      <c r="I1101" t="s">
        <v>32</v>
      </c>
      <c r="J1101" t="s">
        <v>78</v>
      </c>
      <c r="K1101" t="s">
        <v>2253</v>
      </c>
      <c r="L1101" t="s">
        <v>205</v>
      </c>
      <c r="M1101" t="s">
        <v>83</v>
      </c>
      <c r="N1101" t="s">
        <v>2464</v>
      </c>
      <c r="O1101">
        <v>1</v>
      </c>
      <c r="P1101">
        <v>0</v>
      </c>
      <c r="Q1101">
        <v>0</v>
      </c>
      <c r="R1101" s="1">
        <v>46206.636516203704</v>
      </c>
      <c r="S1101" s="1">
        <v>46206.636516203704</v>
      </c>
    </row>
    <row r="1102" spans="1:19" x14ac:dyDescent="0.25">
      <c r="A1102">
        <v>2010111513</v>
      </c>
      <c r="B1102" t="s">
        <v>28</v>
      </c>
      <c r="C1102" t="s">
        <v>29</v>
      </c>
      <c r="D1102" t="s">
        <v>2492</v>
      </c>
      <c r="E1102" t="s">
        <v>2493</v>
      </c>
      <c r="F1102" t="e">
        <f>--ds-btn-block-info-gap</f>
        <v>#NAME?</v>
      </c>
      <c r="G1102" t="s">
        <v>86</v>
      </c>
      <c r="H1102" t="s">
        <v>86</v>
      </c>
      <c r="I1102" t="s">
        <v>32</v>
      </c>
      <c r="J1102" t="s">
        <v>78</v>
      </c>
      <c r="K1102" t="s">
        <v>2253</v>
      </c>
      <c r="L1102" t="s">
        <v>205</v>
      </c>
      <c r="M1102" t="s">
        <v>87</v>
      </c>
      <c r="N1102" t="s">
        <v>2464</v>
      </c>
      <c r="O1102">
        <v>1</v>
      </c>
      <c r="P1102">
        <v>0</v>
      </c>
      <c r="Q1102">
        <v>0</v>
      </c>
      <c r="R1102" s="1">
        <v>46206.636516203704</v>
      </c>
      <c r="S1102" s="1">
        <v>46206.636516203704</v>
      </c>
    </row>
    <row r="1103" spans="1:19" x14ac:dyDescent="0.25">
      <c r="A1103">
        <v>2010111514</v>
      </c>
      <c r="B1103" t="s">
        <v>28</v>
      </c>
      <c r="C1103" t="s">
        <v>29</v>
      </c>
      <c r="D1103" t="s">
        <v>2494</v>
      </c>
      <c r="E1103" t="s">
        <v>2495</v>
      </c>
      <c r="F1103" t="e">
        <f>--ds-btn-block-info-focus-ring</f>
        <v>#NAME?</v>
      </c>
      <c r="G1103" t="s">
        <v>1401</v>
      </c>
      <c r="H1103" t="s">
        <v>1401</v>
      </c>
      <c r="I1103" t="s">
        <v>32</v>
      </c>
      <c r="J1103" t="s">
        <v>69</v>
      </c>
      <c r="K1103" t="s">
        <v>2253</v>
      </c>
      <c r="L1103" t="s">
        <v>205</v>
      </c>
      <c r="M1103" t="s">
        <v>91</v>
      </c>
      <c r="N1103" t="s">
        <v>2464</v>
      </c>
      <c r="O1103">
        <v>1</v>
      </c>
      <c r="P1103">
        <v>0</v>
      </c>
      <c r="Q1103">
        <v>0</v>
      </c>
      <c r="R1103" s="1">
        <v>46206.636516203704</v>
      </c>
      <c r="S1103" s="1">
        <v>46206.636516203704</v>
      </c>
    </row>
    <row r="1104" spans="1:19" x14ac:dyDescent="0.25">
      <c r="A1104">
        <v>2010111515</v>
      </c>
      <c r="B1104" t="s">
        <v>28</v>
      </c>
      <c r="C1104" t="s">
        <v>29</v>
      </c>
      <c r="D1104" t="s">
        <v>2496</v>
      </c>
      <c r="E1104" t="s">
        <v>2497</v>
      </c>
      <c r="F1104" t="e">
        <f>--ds-btn-block-info-outline</f>
        <v>#NAME?</v>
      </c>
      <c r="G1104" t="s">
        <v>94</v>
      </c>
      <c r="H1104" t="s">
        <v>94</v>
      </c>
      <c r="I1104" t="s">
        <v>32</v>
      </c>
      <c r="J1104" t="s">
        <v>69</v>
      </c>
      <c r="K1104" t="s">
        <v>2253</v>
      </c>
      <c r="L1104" t="s">
        <v>205</v>
      </c>
      <c r="M1104" t="s">
        <v>95</v>
      </c>
      <c r="N1104" t="s">
        <v>2464</v>
      </c>
      <c r="O1104">
        <v>1</v>
      </c>
      <c r="P1104">
        <v>0</v>
      </c>
      <c r="Q1104">
        <v>0</v>
      </c>
      <c r="R1104" s="1">
        <v>46206.636516203704</v>
      </c>
      <c r="S1104" s="1">
        <v>46206.636516203704</v>
      </c>
    </row>
    <row r="1105" spans="1:19" x14ac:dyDescent="0.25">
      <c r="A1105">
        <v>2010111516</v>
      </c>
      <c r="B1105" t="s">
        <v>28</v>
      </c>
      <c r="C1105" t="s">
        <v>29</v>
      </c>
      <c r="D1105" t="s">
        <v>2498</v>
      </c>
      <c r="E1105" t="s">
        <v>2499</v>
      </c>
      <c r="F1105" t="e">
        <f>--ds-btn-block-info-transition</f>
        <v>#NAME?</v>
      </c>
      <c r="G1105" t="s">
        <v>98</v>
      </c>
      <c r="H1105" t="s">
        <v>98</v>
      </c>
      <c r="I1105" t="s">
        <v>32</v>
      </c>
      <c r="J1105" t="s">
        <v>69</v>
      </c>
      <c r="K1105" t="s">
        <v>2253</v>
      </c>
      <c r="L1105" t="s">
        <v>205</v>
      </c>
      <c r="M1105" t="s">
        <v>99</v>
      </c>
      <c r="N1105" t="s">
        <v>2464</v>
      </c>
      <c r="O1105">
        <v>1</v>
      </c>
      <c r="P1105">
        <v>0</v>
      </c>
      <c r="Q1105">
        <v>0</v>
      </c>
      <c r="R1105" s="1">
        <v>46206.636516203704</v>
      </c>
      <c r="S1105" s="1">
        <v>46206.636516203704</v>
      </c>
    </row>
    <row r="1106" spans="1:19" x14ac:dyDescent="0.25">
      <c r="A1106">
        <v>2010111517</v>
      </c>
      <c r="B1106" t="s">
        <v>28</v>
      </c>
      <c r="C1106" t="s">
        <v>29</v>
      </c>
      <c r="D1106" t="s">
        <v>2500</v>
      </c>
      <c r="E1106" t="s">
        <v>2501</v>
      </c>
      <c r="F1106" t="e">
        <f>--ds-btn-block-info-icon-color</f>
        <v>#NAME?</v>
      </c>
      <c r="G1106" t="s">
        <v>816</v>
      </c>
      <c r="H1106" t="s">
        <v>816</v>
      </c>
      <c r="I1106" t="s">
        <v>32</v>
      </c>
      <c r="J1106" t="s">
        <v>24</v>
      </c>
      <c r="K1106" t="s">
        <v>2253</v>
      </c>
      <c r="L1106" t="s">
        <v>205</v>
      </c>
      <c r="M1106" t="s">
        <v>102</v>
      </c>
      <c r="N1106" t="s">
        <v>2464</v>
      </c>
      <c r="O1106">
        <v>1</v>
      </c>
      <c r="P1106">
        <v>0</v>
      </c>
      <c r="Q1106">
        <v>0</v>
      </c>
      <c r="R1106" s="1">
        <v>46206.636516203704</v>
      </c>
      <c r="S1106" s="1">
        <v>46206.636516203704</v>
      </c>
    </row>
    <row r="1107" spans="1:19" x14ac:dyDescent="0.25">
      <c r="A1107">
        <v>2010111518</v>
      </c>
      <c r="B1107" t="s">
        <v>28</v>
      </c>
      <c r="C1107" t="s">
        <v>29</v>
      </c>
      <c r="D1107" t="s">
        <v>2502</v>
      </c>
      <c r="E1107" t="s">
        <v>2503</v>
      </c>
      <c r="F1107" t="e">
        <f>--ds-btn-block-info-icon-size</f>
        <v>#NAME?</v>
      </c>
      <c r="G1107" t="s">
        <v>105</v>
      </c>
      <c r="H1107" t="s">
        <v>105</v>
      </c>
      <c r="I1107" t="s">
        <v>32</v>
      </c>
      <c r="J1107" t="s">
        <v>78</v>
      </c>
      <c r="K1107" t="s">
        <v>2253</v>
      </c>
      <c r="L1107" t="s">
        <v>205</v>
      </c>
      <c r="M1107" t="s">
        <v>106</v>
      </c>
      <c r="N1107" t="s">
        <v>2464</v>
      </c>
      <c r="O1107">
        <v>1</v>
      </c>
      <c r="P1107">
        <v>0</v>
      </c>
      <c r="Q1107">
        <v>0</v>
      </c>
      <c r="R1107" s="1">
        <v>46206.636516203704</v>
      </c>
      <c r="S1107" s="1">
        <v>46206.636516203704</v>
      </c>
    </row>
    <row r="1108" spans="1:19" x14ac:dyDescent="0.25">
      <c r="A1108">
        <v>2010111519</v>
      </c>
      <c r="B1108" t="s">
        <v>28</v>
      </c>
      <c r="C1108" t="s">
        <v>29</v>
      </c>
      <c r="D1108" t="s">
        <v>2504</v>
      </c>
      <c r="E1108" t="s">
        <v>2505</v>
      </c>
      <c r="F1108" t="e">
        <f>--ds-btn-block-info-line-height</f>
        <v>#NAME?</v>
      </c>
      <c r="G1108">
        <v>1.2</v>
      </c>
      <c r="H1108">
        <v>1.2</v>
      </c>
      <c r="I1108" t="s">
        <v>32</v>
      </c>
      <c r="J1108" t="s">
        <v>78</v>
      </c>
      <c r="K1108" t="s">
        <v>2253</v>
      </c>
      <c r="L1108" t="s">
        <v>205</v>
      </c>
      <c r="M1108" t="s">
        <v>109</v>
      </c>
      <c r="N1108" t="s">
        <v>2464</v>
      </c>
      <c r="O1108">
        <v>1</v>
      </c>
      <c r="P1108">
        <v>0</v>
      </c>
      <c r="Q1108">
        <v>0</v>
      </c>
      <c r="R1108" s="1">
        <v>46206.636516203704</v>
      </c>
      <c r="S1108" s="1">
        <v>46206.636516203704</v>
      </c>
    </row>
    <row r="1109" spans="1:19" x14ac:dyDescent="0.25">
      <c r="A1109">
        <v>2010114000</v>
      </c>
      <c r="B1109" t="s">
        <v>28</v>
      </c>
      <c r="C1109" t="s">
        <v>29</v>
      </c>
      <c r="D1109" t="s">
        <v>2506</v>
      </c>
      <c r="E1109" t="s">
        <v>2507</v>
      </c>
      <c r="F1109" t="e">
        <f>--ds-btn-action-bg</f>
        <v>#NAME?</v>
      </c>
      <c r="G1109" t="s">
        <v>816</v>
      </c>
      <c r="H1109" t="s">
        <v>816</v>
      </c>
      <c r="I1109" t="s">
        <v>32</v>
      </c>
      <c r="J1109" t="s">
        <v>24</v>
      </c>
      <c r="K1109" t="s">
        <v>2508</v>
      </c>
      <c r="L1109" t="s">
        <v>2508</v>
      </c>
      <c r="M1109" t="s">
        <v>26</v>
      </c>
      <c r="N1109" t="s">
        <v>2509</v>
      </c>
      <c r="O1109">
        <v>1</v>
      </c>
      <c r="P1109">
        <v>1</v>
      </c>
      <c r="Q1109">
        <v>0</v>
      </c>
      <c r="R1109" s="1">
        <v>46197.478726851848</v>
      </c>
      <c r="S1109" s="1">
        <v>46206.362997685188</v>
      </c>
    </row>
    <row r="1110" spans="1:19" x14ac:dyDescent="0.25">
      <c r="A1110">
        <v>2010114001</v>
      </c>
      <c r="B1110" t="s">
        <v>28</v>
      </c>
      <c r="C1110" t="s">
        <v>29</v>
      </c>
      <c r="D1110" t="s">
        <v>2510</v>
      </c>
      <c r="E1110" t="s">
        <v>2511</v>
      </c>
      <c r="F1110" t="e">
        <f>--ds-btn-action-bg-hover</f>
        <v>#NAME?</v>
      </c>
      <c r="G1110" t="s">
        <v>816</v>
      </c>
      <c r="H1110" t="s">
        <v>816</v>
      </c>
      <c r="I1110" t="s">
        <v>32</v>
      </c>
      <c r="J1110" t="s">
        <v>24</v>
      </c>
      <c r="K1110" t="s">
        <v>2508</v>
      </c>
      <c r="L1110" t="s">
        <v>2508</v>
      </c>
      <c r="M1110" t="s">
        <v>2512</v>
      </c>
      <c r="N1110" t="s">
        <v>2509</v>
      </c>
      <c r="O1110">
        <v>1</v>
      </c>
      <c r="P1110">
        <v>1</v>
      </c>
      <c r="Q1110">
        <v>0</v>
      </c>
      <c r="R1110" s="1">
        <v>46197.478726851848</v>
      </c>
      <c r="S1110" s="1">
        <v>46206.362997685188</v>
      </c>
    </row>
    <row r="1111" spans="1:19" x14ac:dyDescent="0.25">
      <c r="A1111">
        <v>2010114002</v>
      </c>
      <c r="B1111" t="s">
        <v>28</v>
      </c>
      <c r="C1111" t="s">
        <v>29</v>
      </c>
      <c r="D1111" t="s">
        <v>2513</v>
      </c>
      <c r="E1111" t="s">
        <v>2514</v>
      </c>
      <c r="F1111" t="e">
        <f>--ds-btn-action-bg-active</f>
        <v>#NAME?</v>
      </c>
      <c r="G1111" t="s">
        <v>816</v>
      </c>
      <c r="H1111" t="s">
        <v>816</v>
      </c>
      <c r="I1111" t="s">
        <v>32</v>
      </c>
      <c r="J1111" t="s">
        <v>24</v>
      </c>
      <c r="K1111" t="s">
        <v>2508</v>
      </c>
      <c r="L1111" t="s">
        <v>2508</v>
      </c>
      <c r="M1111" t="s">
        <v>2515</v>
      </c>
      <c r="N1111" t="s">
        <v>2509</v>
      </c>
      <c r="O1111">
        <v>1</v>
      </c>
      <c r="P1111">
        <v>1</v>
      </c>
      <c r="Q1111">
        <v>0</v>
      </c>
      <c r="R1111" s="1">
        <v>46197.478726851848</v>
      </c>
      <c r="S1111" s="1">
        <v>46206.362997685188</v>
      </c>
    </row>
    <row r="1112" spans="1:19" x14ac:dyDescent="0.25">
      <c r="A1112">
        <v>2010114003</v>
      </c>
      <c r="B1112" t="s">
        <v>28</v>
      </c>
      <c r="C1112" t="s">
        <v>29</v>
      </c>
      <c r="D1112" t="s">
        <v>2516</v>
      </c>
      <c r="E1112" t="s">
        <v>2517</v>
      </c>
      <c r="F1112" t="e">
        <f>--ds-btn-action-bg-disabled</f>
        <v>#NAME?</v>
      </c>
      <c r="G1112" t="s">
        <v>816</v>
      </c>
      <c r="H1112" t="s">
        <v>816</v>
      </c>
      <c r="I1112" t="s">
        <v>32</v>
      </c>
      <c r="J1112" t="s">
        <v>24</v>
      </c>
      <c r="K1112" t="s">
        <v>2508</v>
      </c>
      <c r="L1112" t="s">
        <v>2508</v>
      </c>
      <c r="M1112" t="s">
        <v>2518</v>
      </c>
      <c r="N1112" t="s">
        <v>2509</v>
      </c>
      <c r="O1112">
        <v>1</v>
      </c>
      <c r="P1112">
        <v>1</v>
      </c>
      <c r="Q1112">
        <v>0</v>
      </c>
      <c r="R1112" s="1">
        <v>46197.478726851848</v>
      </c>
      <c r="S1112" s="1">
        <v>46206.362997685188</v>
      </c>
    </row>
    <row r="1113" spans="1:19" x14ac:dyDescent="0.25">
      <c r="A1113">
        <v>2010114004</v>
      </c>
      <c r="B1113" t="s">
        <v>28</v>
      </c>
      <c r="C1113" t="s">
        <v>29</v>
      </c>
      <c r="D1113" t="s">
        <v>2519</v>
      </c>
      <c r="E1113" t="s">
        <v>2520</v>
      </c>
      <c r="F1113" t="e">
        <f>--ds-btn-action-border</f>
        <v>#NAME?</v>
      </c>
      <c r="G1113" t="s">
        <v>816</v>
      </c>
      <c r="H1113" t="s">
        <v>816</v>
      </c>
      <c r="I1113" t="s">
        <v>32</v>
      </c>
      <c r="J1113" t="s">
        <v>24</v>
      </c>
      <c r="K1113" t="s">
        <v>2508</v>
      </c>
      <c r="L1113" t="s">
        <v>2508</v>
      </c>
      <c r="M1113" t="s">
        <v>42</v>
      </c>
      <c r="N1113" t="s">
        <v>2509</v>
      </c>
      <c r="O1113">
        <v>1</v>
      </c>
      <c r="P1113">
        <v>1</v>
      </c>
      <c r="Q1113">
        <v>0</v>
      </c>
      <c r="R1113" s="1">
        <v>46197.478726851848</v>
      </c>
      <c r="S1113" s="1">
        <v>46206.362997685188</v>
      </c>
    </row>
    <row r="1114" spans="1:19" x14ac:dyDescent="0.25">
      <c r="A1114">
        <v>2010114005</v>
      </c>
      <c r="B1114" t="s">
        <v>28</v>
      </c>
      <c r="C1114" t="s">
        <v>29</v>
      </c>
      <c r="D1114" t="s">
        <v>2521</v>
      </c>
      <c r="E1114" t="s">
        <v>2522</v>
      </c>
      <c r="F1114" t="e">
        <f>--ds-btn-action-border-hover</f>
        <v>#NAME?</v>
      </c>
      <c r="G1114" t="s">
        <v>816</v>
      </c>
      <c r="H1114" t="s">
        <v>816</v>
      </c>
      <c r="I1114" t="s">
        <v>32</v>
      </c>
      <c r="J1114" t="s">
        <v>24</v>
      </c>
      <c r="K1114" t="s">
        <v>2508</v>
      </c>
      <c r="L1114" t="s">
        <v>2508</v>
      </c>
      <c r="M1114" t="s">
        <v>2523</v>
      </c>
      <c r="N1114" t="s">
        <v>2509</v>
      </c>
      <c r="O1114">
        <v>1</v>
      </c>
      <c r="P1114">
        <v>1</v>
      </c>
      <c r="Q1114">
        <v>0</v>
      </c>
      <c r="R1114" s="1">
        <v>46197.478726851848</v>
      </c>
      <c r="S1114" s="1">
        <v>46206.362997685188</v>
      </c>
    </row>
    <row r="1115" spans="1:19" x14ac:dyDescent="0.25">
      <c r="A1115">
        <v>2010114006</v>
      </c>
      <c r="B1115" t="s">
        <v>28</v>
      </c>
      <c r="C1115" t="s">
        <v>29</v>
      </c>
      <c r="D1115" t="s">
        <v>2524</v>
      </c>
      <c r="E1115" t="s">
        <v>2525</v>
      </c>
      <c r="F1115" t="e">
        <f>--ds-btn-action-border-active</f>
        <v>#NAME?</v>
      </c>
      <c r="G1115" t="s">
        <v>816</v>
      </c>
      <c r="H1115" t="s">
        <v>816</v>
      </c>
      <c r="I1115" t="s">
        <v>32</v>
      </c>
      <c r="J1115" t="s">
        <v>24</v>
      </c>
      <c r="K1115" t="s">
        <v>2508</v>
      </c>
      <c r="L1115" t="s">
        <v>2508</v>
      </c>
      <c r="M1115" t="s">
        <v>2526</v>
      </c>
      <c r="N1115" t="s">
        <v>2509</v>
      </c>
      <c r="O1115">
        <v>1</v>
      </c>
      <c r="P1115">
        <v>1</v>
      </c>
      <c r="Q1115">
        <v>0</v>
      </c>
      <c r="R1115" s="1">
        <v>46197.478726851848</v>
      </c>
      <c r="S1115" s="1">
        <v>46206.362997685188</v>
      </c>
    </row>
    <row r="1116" spans="1:19" x14ac:dyDescent="0.25">
      <c r="A1116">
        <v>2010114007</v>
      </c>
      <c r="B1116" t="s">
        <v>28</v>
      </c>
      <c r="C1116" t="s">
        <v>29</v>
      </c>
      <c r="D1116" t="s">
        <v>2527</v>
      </c>
      <c r="E1116" t="s">
        <v>2528</v>
      </c>
      <c r="F1116" t="e">
        <f>--ds-btn-action-border-disabled</f>
        <v>#NAME?</v>
      </c>
      <c r="G1116" t="s">
        <v>816</v>
      </c>
      <c r="H1116" t="s">
        <v>816</v>
      </c>
      <c r="I1116" t="s">
        <v>32</v>
      </c>
      <c r="J1116" t="s">
        <v>24</v>
      </c>
      <c r="K1116" t="s">
        <v>2508</v>
      </c>
      <c r="L1116" t="s">
        <v>2508</v>
      </c>
      <c r="M1116" t="s">
        <v>2529</v>
      </c>
      <c r="N1116" t="s">
        <v>2509</v>
      </c>
      <c r="O1116">
        <v>1</v>
      </c>
      <c r="P1116">
        <v>1</v>
      </c>
      <c r="Q1116">
        <v>0</v>
      </c>
      <c r="R1116" s="1">
        <v>46197.478726851848</v>
      </c>
      <c r="S1116" s="1">
        <v>46206.362997685188</v>
      </c>
    </row>
    <row r="1117" spans="1:19" x14ac:dyDescent="0.25">
      <c r="A1117">
        <v>2010114008</v>
      </c>
      <c r="B1117" t="s">
        <v>28</v>
      </c>
      <c r="C1117" t="s">
        <v>29</v>
      </c>
      <c r="D1117" t="s">
        <v>2530</v>
      </c>
      <c r="E1117" t="s">
        <v>2531</v>
      </c>
      <c r="F1117" t="e">
        <f>--ds-btn-action-color</f>
        <v>#NAME?</v>
      </c>
      <c r="G1117" t="s">
        <v>816</v>
      </c>
      <c r="H1117" t="s">
        <v>816</v>
      </c>
      <c r="I1117" t="s">
        <v>32</v>
      </c>
      <c r="J1117" t="s">
        <v>24</v>
      </c>
      <c r="K1117" t="s">
        <v>2508</v>
      </c>
      <c r="L1117" t="s">
        <v>2508</v>
      </c>
      <c r="M1117" t="s">
        <v>24</v>
      </c>
      <c r="N1117" t="s">
        <v>2509</v>
      </c>
      <c r="O1117">
        <v>1</v>
      </c>
      <c r="P1117">
        <v>1</v>
      </c>
      <c r="Q1117">
        <v>0</v>
      </c>
      <c r="R1117" s="1">
        <v>46197.478726851848</v>
      </c>
      <c r="S1117" s="1">
        <v>46206.362997685188</v>
      </c>
    </row>
    <row r="1118" spans="1:19" x14ac:dyDescent="0.25">
      <c r="A1118">
        <v>2010114009</v>
      </c>
      <c r="B1118" t="s">
        <v>28</v>
      </c>
      <c r="C1118" t="s">
        <v>29</v>
      </c>
      <c r="D1118" t="s">
        <v>2532</v>
      </c>
      <c r="E1118" t="s">
        <v>2533</v>
      </c>
      <c r="F1118" t="e">
        <f>--ds-btn-action-color-hover</f>
        <v>#NAME?</v>
      </c>
      <c r="G1118" t="s">
        <v>816</v>
      </c>
      <c r="H1118" t="s">
        <v>816</v>
      </c>
      <c r="I1118" t="s">
        <v>32</v>
      </c>
      <c r="J1118" t="s">
        <v>24</v>
      </c>
      <c r="K1118" t="s">
        <v>2508</v>
      </c>
      <c r="L1118" t="s">
        <v>2508</v>
      </c>
      <c r="M1118" t="s">
        <v>2534</v>
      </c>
      <c r="N1118" t="s">
        <v>2509</v>
      </c>
      <c r="O1118">
        <v>1</v>
      </c>
      <c r="P1118">
        <v>1</v>
      </c>
      <c r="Q1118">
        <v>0</v>
      </c>
      <c r="R1118" s="1">
        <v>46197.478726851848</v>
      </c>
      <c r="S1118" s="1">
        <v>46206.362997685188</v>
      </c>
    </row>
    <row r="1119" spans="1:19" x14ac:dyDescent="0.25">
      <c r="A1119">
        <v>2010114010</v>
      </c>
      <c r="B1119" t="s">
        <v>28</v>
      </c>
      <c r="C1119" t="s">
        <v>29</v>
      </c>
      <c r="D1119" t="s">
        <v>2535</v>
      </c>
      <c r="E1119" t="s">
        <v>2536</v>
      </c>
      <c r="F1119" t="e">
        <f>--ds-btn-action-color-active</f>
        <v>#NAME?</v>
      </c>
      <c r="G1119" t="s">
        <v>816</v>
      </c>
      <c r="H1119" t="s">
        <v>816</v>
      </c>
      <c r="I1119" t="s">
        <v>32</v>
      </c>
      <c r="J1119" t="s">
        <v>24</v>
      </c>
      <c r="K1119" t="s">
        <v>2508</v>
      </c>
      <c r="L1119" t="s">
        <v>2508</v>
      </c>
      <c r="M1119" t="s">
        <v>2537</v>
      </c>
      <c r="N1119" t="s">
        <v>2509</v>
      </c>
      <c r="O1119">
        <v>1</v>
      </c>
      <c r="P1119">
        <v>1</v>
      </c>
      <c r="Q1119">
        <v>0</v>
      </c>
      <c r="R1119" s="1">
        <v>46197.478726851848</v>
      </c>
      <c r="S1119" s="1">
        <v>46206.362997685188</v>
      </c>
    </row>
    <row r="1120" spans="1:19" x14ac:dyDescent="0.25">
      <c r="A1120">
        <v>2010114011</v>
      </c>
      <c r="B1120" t="s">
        <v>28</v>
      </c>
      <c r="C1120" t="s">
        <v>29</v>
      </c>
      <c r="D1120" t="s">
        <v>2538</v>
      </c>
      <c r="E1120" t="s">
        <v>2539</v>
      </c>
      <c r="F1120" t="e">
        <f>--ds-btn-action-color-disabled</f>
        <v>#NAME?</v>
      </c>
      <c r="G1120" t="s">
        <v>816</v>
      </c>
      <c r="H1120" t="s">
        <v>816</v>
      </c>
      <c r="I1120" t="s">
        <v>32</v>
      </c>
      <c r="J1120" t="s">
        <v>24</v>
      </c>
      <c r="K1120" t="s">
        <v>2508</v>
      </c>
      <c r="L1120" t="s">
        <v>2508</v>
      </c>
      <c r="M1120" t="s">
        <v>2540</v>
      </c>
      <c r="N1120" t="s">
        <v>2509</v>
      </c>
      <c r="O1120">
        <v>1</v>
      </c>
      <c r="P1120">
        <v>1</v>
      </c>
      <c r="Q1120">
        <v>0</v>
      </c>
      <c r="R1120" s="1">
        <v>46197.478726851848</v>
      </c>
      <c r="S1120" s="1">
        <v>46206.362997685188</v>
      </c>
    </row>
    <row r="1121" spans="1:19" x14ac:dyDescent="0.25">
      <c r="A1121">
        <v>2010114012</v>
      </c>
      <c r="B1121" t="s">
        <v>28</v>
      </c>
      <c r="C1121" t="s">
        <v>29</v>
      </c>
      <c r="D1121" t="s">
        <v>2541</v>
      </c>
      <c r="E1121" t="s">
        <v>2542</v>
      </c>
      <c r="F1121" t="e">
        <f>--ds-btn-action-shadow</f>
        <v>#NAME?</v>
      </c>
      <c r="G1121" t="s">
        <v>94</v>
      </c>
      <c r="H1121" t="s">
        <v>94</v>
      </c>
      <c r="I1121" t="s">
        <v>32</v>
      </c>
      <c r="J1121" t="s">
        <v>70</v>
      </c>
      <c r="K1121" t="s">
        <v>2508</v>
      </c>
      <c r="L1121" t="s">
        <v>2508</v>
      </c>
      <c r="M1121" t="s">
        <v>70</v>
      </c>
      <c r="N1121" t="s">
        <v>2509</v>
      </c>
      <c r="O1121">
        <v>1</v>
      </c>
      <c r="P1121">
        <v>1</v>
      </c>
      <c r="Q1121">
        <v>0</v>
      </c>
      <c r="R1121" s="1">
        <v>46197.478726851848</v>
      </c>
      <c r="S1121" s="1">
        <v>46206.362997685188</v>
      </c>
    </row>
    <row r="1122" spans="1:19" x14ac:dyDescent="0.25">
      <c r="A1122">
        <v>2010114013</v>
      </c>
      <c r="B1122" t="s">
        <v>28</v>
      </c>
      <c r="C1122" t="s">
        <v>29</v>
      </c>
      <c r="D1122" t="s">
        <v>2543</v>
      </c>
      <c r="E1122" t="s">
        <v>2544</v>
      </c>
      <c r="F1122" t="e">
        <f>--ds-btn-action-shadow-hover</f>
        <v>#NAME?</v>
      </c>
      <c r="G1122" t="s">
        <v>94</v>
      </c>
      <c r="H1122" t="s">
        <v>94</v>
      </c>
      <c r="I1122" t="s">
        <v>32</v>
      </c>
      <c r="J1122" t="s">
        <v>70</v>
      </c>
      <c r="K1122" t="s">
        <v>2508</v>
      </c>
      <c r="L1122" t="s">
        <v>2508</v>
      </c>
      <c r="M1122" t="s">
        <v>2545</v>
      </c>
      <c r="N1122" t="s">
        <v>2509</v>
      </c>
      <c r="O1122">
        <v>1</v>
      </c>
      <c r="P1122">
        <v>1</v>
      </c>
      <c r="Q1122">
        <v>0</v>
      </c>
      <c r="R1122" s="1">
        <v>46197.478726851848</v>
      </c>
      <c r="S1122" s="1">
        <v>46206.362997685188</v>
      </c>
    </row>
    <row r="1123" spans="1:19" x14ac:dyDescent="0.25">
      <c r="A1123">
        <v>2010114014</v>
      </c>
      <c r="B1123" t="s">
        <v>28</v>
      </c>
      <c r="C1123" t="s">
        <v>29</v>
      </c>
      <c r="D1123" t="s">
        <v>2546</v>
      </c>
      <c r="E1123" t="s">
        <v>2547</v>
      </c>
      <c r="F1123" t="e">
        <f>--ds-btn-action-shadow-active</f>
        <v>#NAME?</v>
      </c>
      <c r="G1123" t="s">
        <v>94</v>
      </c>
      <c r="H1123" t="s">
        <v>94</v>
      </c>
      <c r="I1123" t="s">
        <v>32</v>
      </c>
      <c r="J1123" t="s">
        <v>70</v>
      </c>
      <c r="K1123" t="s">
        <v>2508</v>
      </c>
      <c r="L1123" t="s">
        <v>2508</v>
      </c>
      <c r="M1123" t="s">
        <v>2548</v>
      </c>
      <c r="N1123" t="s">
        <v>2509</v>
      </c>
      <c r="O1123">
        <v>1</v>
      </c>
      <c r="P1123">
        <v>1</v>
      </c>
      <c r="Q1123">
        <v>0</v>
      </c>
      <c r="R1123" s="1">
        <v>46197.478726851848</v>
      </c>
      <c r="S1123" s="1">
        <v>46206.362997685188</v>
      </c>
    </row>
    <row r="1124" spans="1:19" x14ac:dyDescent="0.25">
      <c r="A1124">
        <v>2010114015</v>
      </c>
      <c r="B1124" t="s">
        <v>28</v>
      </c>
      <c r="C1124" t="s">
        <v>29</v>
      </c>
      <c r="D1124" t="s">
        <v>2549</v>
      </c>
      <c r="E1124" t="s">
        <v>2550</v>
      </c>
      <c r="F1124" t="e">
        <f>--ds-btn-action-radius</f>
        <v>#NAME?</v>
      </c>
      <c r="G1124" t="s">
        <v>2551</v>
      </c>
      <c r="H1124" t="s">
        <v>2551</v>
      </c>
      <c r="I1124" t="s">
        <v>32</v>
      </c>
      <c r="J1124" t="s">
        <v>74</v>
      </c>
      <c r="K1124" t="s">
        <v>2508</v>
      </c>
      <c r="L1124" t="s">
        <v>2508</v>
      </c>
      <c r="M1124" t="s">
        <v>74</v>
      </c>
      <c r="N1124" t="s">
        <v>2509</v>
      </c>
      <c r="O1124">
        <v>1</v>
      </c>
      <c r="P1124">
        <v>1</v>
      </c>
      <c r="Q1124">
        <v>0</v>
      </c>
      <c r="R1124" s="1">
        <v>46197.478726851848</v>
      </c>
      <c r="S1124" s="1">
        <v>46206.362997685188</v>
      </c>
    </row>
    <row r="1125" spans="1:19" x14ac:dyDescent="0.25">
      <c r="A1125">
        <v>2010114016</v>
      </c>
      <c r="B1125" t="s">
        <v>28</v>
      </c>
      <c r="C1125" t="s">
        <v>29</v>
      </c>
      <c r="D1125" t="s">
        <v>2552</v>
      </c>
      <c r="E1125" t="s">
        <v>2553</v>
      </c>
      <c r="F1125" t="e">
        <f>--ds-btn-action-padding-x</f>
        <v>#NAME?</v>
      </c>
      <c r="G1125" t="s">
        <v>2554</v>
      </c>
      <c r="H1125" t="s">
        <v>2554</v>
      </c>
      <c r="I1125" t="s">
        <v>32</v>
      </c>
      <c r="J1125" t="s">
        <v>2555</v>
      </c>
      <c r="K1125" t="s">
        <v>2508</v>
      </c>
      <c r="L1125" t="s">
        <v>2508</v>
      </c>
      <c r="M1125" t="s">
        <v>79</v>
      </c>
      <c r="N1125" t="s">
        <v>2509</v>
      </c>
      <c r="O1125">
        <v>1</v>
      </c>
      <c r="P1125">
        <v>1</v>
      </c>
      <c r="Q1125">
        <v>0</v>
      </c>
      <c r="R1125" s="1">
        <v>46197.478726851848</v>
      </c>
      <c r="S1125" s="1">
        <v>46206.362997685188</v>
      </c>
    </row>
    <row r="1126" spans="1:19" x14ac:dyDescent="0.25">
      <c r="A1126">
        <v>2010114017</v>
      </c>
      <c r="B1126" t="s">
        <v>28</v>
      </c>
      <c r="C1126" t="s">
        <v>29</v>
      </c>
      <c r="D1126" t="s">
        <v>2556</v>
      </c>
      <c r="E1126" t="s">
        <v>2557</v>
      </c>
      <c r="F1126" t="e">
        <f>--ds-btn-action-padding-y</f>
        <v>#NAME?</v>
      </c>
      <c r="G1126" t="s">
        <v>847</v>
      </c>
      <c r="H1126" t="s">
        <v>847</v>
      </c>
      <c r="I1126" t="s">
        <v>32</v>
      </c>
      <c r="J1126" t="s">
        <v>2555</v>
      </c>
      <c r="K1126" t="s">
        <v>2508</v>
      </c>
      <c r="L1126" t="s">
        <v>2508</v>
      </c>
      <c r="M1126" t="s">
        <v>83</v>
      </c>
      <c r="N1126" t="s">
        <v>2509</v>
      </c>
      <c r="O1126">
        <v>1</v>
      </c>
      <c r="P1126">
        <v>1</v>
      </c>
      <c r="Q1126">
        <v>0</v>
      </c>
      <c r="R1126" s="1">
        <v>46197.478726851848</v>
      </c>
      <c r="S1126" s="1">
        <v>46206.362997685188</v>
      </c>
    </row>
    <row r="1127" spans="1:19" x14ac:dyDescent="0.25">
      <c r="A1127">
        <v>2010114018</v>
      </c>
      <c r="B1127" t="s">
        <v>28</v>
      </c>
      <c r="C1127" t="s">
        <v>29</v>
      </c>
      <c r="D1127" t="s">
        <v>2558</v>
      </c>
      <c r="E1127" t="s">
        <v>2559</v>
      </c>
      <c r="F1127" t="e">
        <f>--ds-btn-action-font-size</f>
        <v>#NAME?</v>
      </c>
      <c r="G1127" t="s">
        <v>843</v>
      </c>
      <c r="H1127" t="s">
        <v>843</v>
      </c>
      <c r="I1127" t="s">
        <v>32</v>
      </c>
      <c r="J1127" t="s">
        <v>2560</v>
      </c>
      <c r="K1127" t="s">
        <v>2508</v>
      </c>
      <c r="L1127" t="s">
        <v>2508</v>
      </c>
      <c r="M1127" t="s">
        <v>2561</v>
      </c>
      <c r="N1127" t="s">
        <v>2509</v>
      </c>
      <c r="O1127">
        <v>1</v>
      </c>
      <c r="P1127">
        <v>1</v>
      </c>
      <c r="Q1127">
        <v>0</v>
      </c>
      <c r="R1127" s="1">
        <v>46197.478726851848</v>
      </c>
      <c r="S1127" s="1">
        <v>46206.362997685188</v>
      </c>
    </row>
    <row r="1128" spans="1:19" x14ac:dyDescent="0.25">
      <c r="A1128">
        <v>2010114019</v>
      </c>
      <c r="B1128" t="s">
        <v>28</v>
      </c>
      <c r="C1128" t="s">
        <v>29</v>
      </c>
      <c r="D1128" t="s">
        <v>2562</v>
      </c>
      <c r="E1128" t="s">
        <v>2563</v>
      </c>
      <c r="F1128" t="e">
        <f>--ds-btn-action-font-weight</f>
        <v>#NAME?</v>
      </c>
      <c r="G1128">
        <v>500</v>
      </c>
      <c r="H1128">
        <v>500</v>
      </c>
      <c r="I1128" t="s">
        <v>32</v>
      </c>
      <c r="J1128" t="s">
        <v>2560</v>
      </c>
      <c r="K1128" t="s">
        <v>2508</v>
      </c>
      <c r="L1128" t="s">
        <v>2508</v>
      </c>
      <c r="M1128" t="s">
        <v>2564</v>
      </c>
      <c r="N1128" t="s">
        <v>2509</v>
      </c>
      <c r="O1128">
        <v>1</v>
      </c>
      <c r="P1128">
        <v>1</v>
      </c>
      <c r="Q1128">
        <v>0</v>
      </c>
      <c r="R1128" s="1">
        <v>46197.478726851848</v>
      </c>
      <c r="S1128" s="1">
        <v>46206.362997685188</v>
      </c>
    </row>
    <row r="1129" spans="1:19" x14ac:dyDescent="0.25">
      <c r="A1129">
        <v>2010114100</v>
      </c>
      <c r="B1129" t="s">
        <v>28</v>
      </c>
      <c r="C1129" t="s">
        <v>29</v>
      </c>
      <c r="D1129" t="s">
        <v>2565</v>
      </c>
      <c r="E1129" t="s">
        <v>2566</v>
      </c>
      <c r="F1129" t="e">
        <f>--ds-btn-action2-bg</f>
        <v>#NAME?</v>
      </c>
      <c r="G1129" t="s">
        <v>816</v>
      </c>
      <c r="H1129" t="s">
        <v>816</v>
      </c>
      <c r="I1129" t="s">
        <v>32</v>
      </c>
      <c r="J1129" t="s">
        <v>24</v>
      </c>
      <c r="K1129" t="s">
        <v>2508</v>
      </c>
      <c r="L1129" t="s">
        <v>2508</v>
      </c>
      <c r="M1129" t="s">
        <v>26</v>
      </c>
      <c r="N1129" t="s">
        <v>2509</v>
      </c>
      <c r="O1129">
        <v>1</v>
      </c>
      <c r="P1129">
        <v>1</v>
      </c>
      <c r="Q1129">
        <v>0</v>
      </c>
      <c r="R1129" s="1">
        <v>46205.659722222219</v>
      </c>
      <c r="S1129" s="1">
        <v>46206.362997685188</v>
      </c>
    </row>
    <row r="1130" spans="1:19" x14ac:dyDescent="0.25">
      <c r="A1130">
        <v>2010114101</v>
      </c>
      <c r="B1130" t="s">
        <v>28</v>
      </c>
      <c r="C1130" t="s">
        <v>29</v>
      </c>
      <c r="D1130" t="s">
        <v>2567</v>
      </c>
      <c r="E1130" t="s">
        <v>2568</v>
      </c>
      <c r="F1130" t="e">
        <f>--ds-btn-action2-bg-hover</f>
        <v>#NAME?</v>
      </c>
      <c r="G1130" t="s">
        <v>816</v>
      </c>
      <c r="H1130" t="s">
        <v>816</v>
      </c>
      <c r="I1130" t="s">
        <v>32</v>
      </c>
      <c r="J1130" t="s">
        <v>24</v>
      </c>
      <c r="K1130" t="s">
        <v>2508</v>
      </c>
      <c r="L1130" t="s">
        <v>2508</v>
      </c>
      <c r="M1130" t="s">
        <v>2512</v>
      </c>
      <c r="N1130" t="s">
        <v>2509</v>
      </c>
      <c r="O1130">
        <v>1</v>
      </c>
      <c r="P1130">
        <v>1</v>
      </c>
      <c r="Q1130">
        <v>0</v>
      </c>
      <c r="R1130" s="1">
        <v>46205.659722222219</v>
      </c>
      <c r="S1130" s="1">
        <v>46206.362997685188</v>
      </c>
    </row>
    <row r="1131" spans="1:19" x14ac:dyDescent="0.25">
      <c r="A1131">
        <v>2010114102</v>
      </c>
      <c r="B1131" t="s">
        <v>28</v>
      </c>
      <c r="C1131" t="s">
        <v>29</v>
      </c>
      <c r="D1131" t="s">
        <v>2569</v>
      </c>
      <c r="E1131" t="s">
        <v>2570</v>
      </c>
      <c r="F1131" t="e">
        <f>--ds-btn-action2-bg-active</f>
        <v>#NAME?</v>
      </c>
      <c r="G1131" t="s">
        <v>816</v>
      </c>
      <c r="H1131" t="s">
        <v>816</v>
      </c>
      <c r="I1131" t="s">
        <v>32</v>
      </c>
      <c r="J1131" t="s">
        <v>24</v>
      </c>
      <c r="K1131" t="s">
        <v>2508</v>
      </c>
      <c r="L1131" t="s">
        <v>2508</v>
      </c>
      <c r="M1131" t="s">
        <v>2515</v>
      </c>
      <c r="N1131" t="s">
        <v>2509</v>
      </c>
      <c r="O1131">
        <v>1</v>
      </c>
      <c r="P1131">
        <v>1</v>
      </c>
      <c r="Q1131">
        <v>0</v>
      </c>
      <c r="R1131" s="1">
        <v>46205.659722222219</v>
      </c>
      <c r="S1131" s="1">
        <v>46206.362997685188</v>
      </c>
    </row>
    <row r="1132" spans="1:19" x14ac:dyDescent="0.25">
      <c r="A1132">
        <v>2010114103</v>
      </c>
      <c r="B1132" t="s">
        <v>28</v>
      </c>
      <c r="C1132" t="s">
        <v>29</v>
      </c>
      <c r="D1132" t="s">
        <v>2571</v>
      </c>
      <c r="E1132" t="s">
        <v>2572</v>
      </c>
      <c r="F1132" t="e">
        <f>--ds-btn-action2-bg-disabled</f>
        <v>#NAME?</v>
      </c>
      <c r="G1132" t="s">
        <v>816</v>
      </c>
      <c r="H1132" t="s">
        <v>816</v>
      </c>
      <c r="I1132" t="s">
        <v>32</v>
      </c>
      <c r="J1132" t="s">
        <v>24</v>
      </c>
      <c r="K1132" t="s">
        <v>2508</v>
      </c>
      <c r="L1132" t="s">
        <v>2508</v>
      </c>
      <c r="M1132" t="s">
        <v>2518</v>
      </c>
      <c r="N1132" t="s">
        <v>2509</v>
      </c>
      <c r="O1132">
        <v>1</v>
      </c>
      <c r="P1132">
        <v>1</v>
      </c>
      <c r="Q1132">
        <v>0</v>
      </c>
      <c r="R1132" s="1">
        <v>46205.659722222219</v>
      </c>
      <c r="S1132" s="1">
        <v>46206.362997685188</v>
      </c>
    </row>
    <row r="1133" spans="1:19" x14ac:dyDescent="0.25">
      <c r="A1133">
        <v>2010114104</v>
      </c>
      <c r="B1133" t="s">
        <v>28</v>
      </c>
      <c r="C1133" t="s">
        <v>29</v>
      </c>
      <c r="D1133" t="s">
        <v>2573</v>
      </c>
      <c r="E1133" t="s">
        <v>2574</v>
      </c>
      <c r="F1133" t="e">
        <f>--ds-btn-action2-border</f>
        <v>#NAME?</v>
      </c>
      <c r="G1133" t="s">
        <v>816</v>
      </c>
      <c r="H1133" t="s">
        <v>816</v>
      </c>
      <c r="I1133" t="s">
        <v>32</v>
      </c>
      <c r="J1133" t="s">
        <v>24</v>
      </c>
      <c r="K1133" t="s">
        <v>2508</v>
      </c>
      <c r="L1133" t="s">
        <v>2508</v>
      </c>
      <c r="M1133" t="s">
        <v>42</v>
      </c>
      <c r="N1133" t="s">
        <v>2509</v>
      </c>
      <c r="O1133">
        <v>1</v>
      </c>
      <c r="P1133">
        <v>1</v>
      </c>
      <c r="Q1133">
        <v>0</v>
      </c>
      <c r="R1133" s="1">
        <v>46205.659722222219</v>
      </c>
      <c r="S1133" s="1">
        <v>46206.362997685188</v>
      </c>
    </row>
    <row r="1134" spans="1:19" x14ac:dyDescent="0.25">
      <c r="A1134">
        <v>2010114105</v>
      </c>
      <c r="B1134" t="s">
        <v>28</v>
      </c>
      <c r="C1134" t="s">
        <v>29</v>
      </c>
      <c r="D1134" t="s">
        <v>2575</v>
      </c>
      <c r="E1134" t="s">
        <v>2576</v>
      </c>
      <c r="F1134" t="e">
        <f>--ds-btn-action2-border-hover</f>
        <v>#NAME?</v>
      </c>
      <c r="G1134" t="s">
        <v>816</v>
      </c>
      <c r="H1134" t="s">
        <v>816</v>
      </c>
      <c r="I1134" t="s">
        <v>32</v>
      </c>
      <c r="J1134" t="s">
        <v>24</v>
      </c>
      <c r="K1134" t="s">
        <v>2508</v>
      </c>
      <c r="L1134" t="s">
        <v>2508</v>
      </c>
      <c r="M1134" t="s">
        <v>2523</v>
      </c>
      <c r="N1134" t="s">
        <v>2509</v>
      </c>
      <c r="O1134">
        <v>1</v>
      </c>
      <c r="P1134">
        <v>1</v>
      </c>
      <c r="Q1134">
        <v>0</v>
      </c>
      <c r="R1134" s="1">
        <v>46205.659722222219</v>
      </c>
      <c r="S1134" s="1">
        <v>46206.362997685188</v>
      </c>
    </row>
    <row r="1135" spans="1:19" x14ac:dyDescent="0.25">
      <c r="A1135">
        <v>2010114106</v>
      </c>
      <c r="B1135" t="s">
        <v>28</v>
      </c>
      <c r="C1135" t="s">
        <v>29</v>
      </c>
      <c r="D1135" t="s">
        <v>2577</v>
      </c>
      <c r="E1135" t="s">
        <v>2578</v>
      </c>
      <c r="F1135" t="e">
        <f>--ds-btn-action2-border-active</f>
        <v>#NAME?</v>
      </c>
      <c r="G1135" t="s">
        <v>816</v>
      </c>
      <c r="H1135" t="s">
        <v>816</v>
      </c>
      <c r="I1135" t="s">
        <v>32</v>
      </c>
      <c r="J1135" t="s">
        <v>24</v>
      </c>
      <c r="K1135" t="s">
        <v>2508</v>
      </c>
      <c r="L1135" t="s">
        <v>2508</v>
      </c>
      <c r="M1135" t="s">
        <v>2526</v>
      </c>
      <c r="N1135" t="s">
        <v>2509</v>
      </c>
      <c r="O1135">
        <v>1</v>
      </c>
      <c r="P1135">
        <v>1</v>
      </c>
      <c r="Q1135">
        <v>0</v>
      </c>
      <c r="R1135" s="1">
        <v>46205.659722222219</v>
      </c>
      <c r="S1135" s="1">
        <v>46206.362997685188</v>
      </c>
    </row>
    <row r="1136" spans="1:19" x14ac:dyDescent="0.25">
      <c r="A1136">
        <v>2010114107</v>
      </c>
      <c r="B1136" t="s">
        <v>28</v>
      </c>
      <c r="C1136" t="s">
        <v>29</v>
      </c>
      <c r="D1136" t="s">
        <v>2579</v>
      </c>
      <c r="E1136" t="s">
        <v>2580</v>
      </c>
      <c r="F1136" t="e">
        <f>--ds-btn-action2-border-disabled</f>
        <v>#NAME?</v>
      </c>
      <c r="G1136" t="s">
        <v>816</v>
      </c>
      <c r="H1136" t="s">
        <v>816</v>
      </c>
      <c r="I1136" t="s">
        <v>32</v>
      </c>
      <c r="J1136" t="s">
        <v>24</v>
      </c>
      <c r="K1136" t="s">
        <v>2508</v>
      </c>
      <c r="L1136" t="s">
        <v>2508</v>
      </c>
      <c r="M1136" t="s">
        <v>2529</v>
      </c>
      <c r="N1136" t="s">
        <v>2509</v>
      </c>
      <c r="O1136">
        <v>1</v>
      </c>
      <c r="P1136">
        <v>1</v>
      </c>
      <c r="Q1136">
        <v>0</v>
      </c>
      <c r="R1136" s="1">
        <v>46205.659722222219</v>
      </c>
      <c r="S1136" s="1">
        <v>46206.362997685188</v>
      </c>
    </row>
    <row r="1137" spans="1:19" x14ac:dyDescent="0.25">
      <c r="A1137">
        <v>2010114108</v>
      </c>
      <c r="B1137" t="s">
        <v>28</v>
      </c>
      <c r="C1137" t="s">
        <v>29</v>
      </c>
      <c r="D1137" t="s">
        <v>2581</v>
      </c>
      <c r="E1137" t="s">
        <v>2582</v>
      </c>
      <c r="F1137" t="e">
        <f>--ds-btn-action2-color</f>
        <v>#NAME?</v>
      </c>
      <c r="G1137" t="s">
        <v>37</v>
      </c>
      <c r="H1137" t="s">
        <v>37</v>
      </c>
      <c r="I1137" t="s">
        <v>32</v>
      </c>
      <c r="J1137" t="s">
        <v>24</v>
      </c>
      <c r="K1137" t="s">
        <v>2508</v>
      </c>
      <c r="L1137" t="s">
        <v>2508</v>
      </c>
      <c r="M1137" t="s">
        <v>24</v>
      </c>
      <c r="N1137" t="s">
        <v>2509</v>
      </c>
      <c r="O1137">
        <v>1</v>
      </c>
      <c r="P1137">
        <v>1</v>
      </c>
      <c r="Q1137">
        <v>0</v>
      </c>
      <c r="R1137" s="1">
        <v>46205.659722222219</v>
      </c>
      <c r="S1137" s="1">
        <v>46206.362997685188</v>
      </c>
    </row>
    <row r="1138" spans="1:19" x14ac:dyDescent="0.25">
      <c r="A1138">
        <v>2010114109</v>
      </c>
      <c r="B1138" t="s">
        <v>28</v>
      </c>
      <c r="C1138" t="s">
        <v>29</v>
      </c>
      <c r="D1138" t="s">
        <v>2583</v>
      </c>
      <c r="E1138" t="s">
        <v>2584</v>
      </c>
      <c r="F1138" t="e">
        <f>--ds-btn-action2-color-hover</f>
        <v>#NAME?</v>
      </c>
      <c r="G1138" t="s">
        <v>37</v>
      </c>
      <c r="H1138" t="s">
        <v>37</v>
      </c>
      <c r="I1138" t="s">
        <v>32</v>
      </c>
      <c r="J1138" t="s">
        <v>24</v>
      </c>
      <c r="K1138" t="s">
        <v>2508</v>
      </c>
      <c r="L1138" t="s">
        <v>2508</v>
      </c>
      <c r="M1138" t="s">
        <v>2534</v>
      </c>
      <c r="N1138" t="s">
        <v>2509</v>
      </c>
      <c r="O1138">
        <v>1</v>
      </c>
      <c r="P1138">
        <v>1</v>
      </c>
      <c r="Q1138">
        <v>0</v>
      </c>
      <c r="R1138" s="1">
        <v>46205.659722222219</v>
      </c>
      <c r="S1138" s="1">
        <v>46206.362997685188</v>
      </c>
    </row>
    <row r="1139" spans="1:19" x14ac:dyDescent="0.25">
      <c r="A1139">
        <v>2010114110</v>
      </c>
      <c r="B1139" t="s">
        <v>28</v>
      </c>
      <c r="C1139" t="s">
        <v>29</v>
      </c>
      <c r="D1139" t="s">
        <v>2585</v>
      </c>
      <c r="E1139" t="s">
        <v>2586</v>
      </c>
      <c r="F1139" t="e">
        <f>--ds-btn-action2-color-active</f>
        <v>#NAME?</v>
      </c>
      <c r="G1139" t="s">
        <v>37</v>
      </c>
      <c r="H1139" t="s">
        <v>37</v>
      </c>
      <c r="I1139" t="s">
        <v>32</v>
      </c>
      <c r="J1139" t="s">
        <v>24</v>
      </c>
      <c r="K1139" t="s">
        <v>2508</v>
      </c>
      <c r="L1139" t="s">
        <v>2508</v>
      </c>
      <c r="M1139" t="s">
        <v>2537</v>
      </c>
      <c r="N1139" t="s">
        <v>2509</v>
      </c>
      <c r="O1139">
        <v>1</v>
      </c>
      <c r="P1139">
        <v>1</v>
      </c>
      <c r="Q1139">
        <v>0</v>
      </c>
      <c r="R1139" s="1">
        <v>46205.659722222219</v>
      </c>
      <c r="S1139" s="1">
        <v>46206.362997685188</v>
      </c>
    </row>
    <row r="1140" spans="1:19" x14ac:dyDescent="0.25">
      <c r="A1140">
        <v>2010114111</v>
      </c>
      <c r="B1140" t="s">
        <v>28</v>
      </c>
      <c r="C1140" t="s">
        <v>29</v>
      </c>
      <c r="D1140" t="s">
        <v>2587</v>
      </c>
      <c r="E1140" t="s">
        <v>2588</v>
      </c>
      <c r="F1140" t="e">
        <f>--ds-btn-action2-color-disabled</f>
        <v>#NAME?</v>
      </c>
      <c r="G1140" t="s">
        <v>37</v>
      </c>
      <c r="H1140" t="s">
        <v>37</v>
      </c>
      <c r="I1140" t="s">
        <v>32</v>
      </c>
      <c r="J1140" t="s">
        <v>24</v>
      </c>
      <c r="K1140" t="s">
        <v>2508</v>
      </c>
      <c r="L1140" t="s">
        <v>2508</v>
      </c>
      <c r="M1140" t="s">
        <v>2540</v>
      </c>
      <c r="N1140" t="s">
        <v>2509</v>
      </c>
      <c r="O1140">
        <v>1</v>
      </c>
      <c r="P1140">
        <v>1</v>
      </c>
      <c r="Q1140">
        <v>0</v>
      </c>
      <c r="R1140" s="1">
        <v>46205.659722222219</v>
      </c>
      <c r="S1140" s="1">
        <v>46206.362997685188</v>
      </c>
    </row>
    <row r="1141" spans="1:19" x14ac:dyDescent="0.25">
      <c r="A1141">
        <v>2010114112</v>
      </c>
      <c r="B1141" t="s">
        <v>28</v>
      </c>
      <c r="C1141" t="s">
        <v>29</v>
      </c>
      <c r="D1141" t="s">
        <v>2589</v>
      </c>
      <c r="E1141" t="s">
        <v>2590</v>
      </c>
      <c r="F1141" t="e">
        <f>--ds-btn-action2-shadow</f>
        <v>#NAME?</v>
      </c>
      <c r="G1141" t="s">
        <v>94</v>
      </c>
      <c r="H1141" t="s">
        <v>94</v>
      </c>
      <c r="I1141" t="s">
        <v>32</v>
      </c>
      <c r="J1141" t="s">
        <v>69</v>
      </c>
      <c r="K1141" t="s">
        <v>2508</v>
      </c>
      <c r="L1141" t="s">
        <v>2508</v>
      </c>
      <c r="M1141" t="s">
        <v>70</v>
      </c>
      <c r="N1141" t="s">
        <v>2509</v>
      </c>
      <c r="O1141">
        <v>1</v>
      </c>
      <c r="P1141">
        <v>1</v>
      </c>
      <c r="Q1141">
        <v>0</v>
      </c>
      <c r="R1141" s="1">
        <v>46205.659722222219</v>
      </c>
      <c r="S1141" s="1">
        <v>46206.362997685188</v>
      </c>
    </row>
    <row r="1142" spans="1:19" x14ac:dyDescent="0.25">
      <c r="A1142">
        <v>2010114113</v>
      </c>
      <c r="B1142" t="s">
        <v>28</v>
      </c>
      <c r="C1142" t="s">
        <v>29</v>
      </c>
      <c r="D1142" t="s">
        <v>2591</v>
      </c>
      <c r="E1142" t="s">
        <v>2592</v>
      </c>
      <c r="F1142" t="e">
        <f>--ds-btn-action2-shadow-hover</f>
        <v>#NAME?</v>
      </c>
      <c r="G1142" t="s">
        <v>94</v>
      </c>
      <c r="H1142" t="s">
        <v>94</v>
      </c>
      <c r="I1142" t="s">
        <v>32</v>
      </c>
      <c r="J1142" t="s">
        <v>69</v>
      </c>
      <c r="K1142" t="s">
        <v>2508</v>
      </c>
      <c r="L1142" t="s">
        <v>2508</v>
      </c>
      <c r="M1142" t="s">
        <v>2545</v>
      </c>
      <c r="N1142" t="s">
        <v>2509</v>
      </c>
      <c r="O1142">
        <v>1</v>
      </c>
      <c r="P1142">
        <v>1</v>
      </c>
      <c r="Q1142">
        <v>0</v>
      </c>
      <c r="R1142" s="1">
        <v>46205.659722222219</v>
      </c>
      <c r="S1142" s="1">
        <v>46206.362997685188</v>
      </c>
    </row>
    <row r="1143" spans="1:19" x14ac:dyDescent="0.25">
      <c r="A1143">
        <v>2010114114</v>
      </c>
      <c r="B1143" t="s">
        <v>28</v>
      </c>
      <c r="C1143" t="s">
        <v>29</v>
      </c>
      <c r="D1143" t="s">
        <v>2593</v>
      </c>
      <c r="E1143" t="s">
        <v>2594</v>
      </c>
      <c r="F1143" t="e">
        <f>--ds-btn-action2-shadow-active</f>
        <v>#NAME?</v>
      </c>
      <c r="G1143" t="s">
        <v>94</v>
      </c>
      <c r="H1143" t="s">
        <v>94</v>
      </c>
      <c r="I1143" t="s">
        <v>32</v>
      </c>
      <c r="J1143" t="s">
        <v>69</v>
      </c>
      <c r="K1143" t="s">
        <v>2508</v>
      </c>
      <c r="L1143" t="s">
        <v>2508</v>
      </c>
      <c r="M1143" t="s">
        <v>2548</v>
      </c>
      <c r="N1143" t="s">
        <v>2509</v>
      </c>
      <c r="O1143">
        <v>1</v>
      </c>
      <c r="P1143">
        <v>1</v>
      </c>
      <c r="Q1143">
        <v>0</v>
      </c>
      <c r="R1143" s="1">
        <v>46205.659722222219</v>
      </c>
      <c r="S1143" s="1">
        <v>46206.362997685188</v>
      </c>
    </row>
    <row r="1144" spans="1:19" x14ac:dyDescent="0.25">
      <c r="A1144">
        <v>2010114115</v>
      </c>
      <c r="B1144" t="s">
        <v>28</v>
      </c>
      <c r="C1144" t="s">
        <v>29</v>
      </c>
      <c r="D1144" t="s">
        <v>2595</v>
      </c>
      <c r="E1144" t="s">
        <v>2596</v>
      </c>
      <c r="F1144" t="e">
        <f>--ds-btn-action2-radius</f>
        <v>#NAME?</v>
      </c>
      <c r="G1144" t="s">
        <v>2551</v>
      </c>
      <c r="H1144" t="s">
        <v>2551</v>
      </c>
      <c r="I1144" t="s">
        <v>32</v>
      </c>
      <c r="J1144" t="s">
        <v>69</v>
      </c>
      <c r="K1144" t="s">
        <v>2508</v>
      </c>
      <c r="L1144" t="s">
        <v>2508</v>
      </c>
      <c r="M1144" t="s">
        <v>74</v>
      </c>
      <c r="N1144" t="s">
        <v>2509</v>
      </c>
      <c r="O1144">
        <v>1</v>
      </c>
      <c r="P1144">
        <v>1</v>
      </c>
      <c r="Q1144">
        <v>0</v>
      </c>
      <c r="R1144" s="1">
        <v>46205.659722222219</v>
      </c>
      <c r="S1144" s="1">
        <v>46206.362997685188</v>
      </c>
    </row>
    <row r="1145" spans="1:19" x14ac:dyDescent="0.25">
      <c r="A1145">
        <v>2010114116</v>
      </c>
      <c r="B1145" t="s">
        <v>28</v>
      </c>
      <c r="C1145" t="s">
        <v>29</v>
      </c>
      <c r="D1145" t="s">
        <v>2597</v>
      </c>
      <c r="E1145" t="s">
        <v>2598</v>
      </c>
      <c r="F1145" t="e">
        <f>--ds-btn-action2-padding-x</f>
        <v>#NAME?</v>
      </c>
      <c r="G1145" t="s">
        <v>2554</v>
      </c>
      <c r="H1145" t="s">
        <v>2554</v>
      </c>
      <c r="I1145" t="s">
        <v>32</v>
      </c>
      <c r="J1145" t="s">
        <v>78</v>
      </c>
      <c r="K1145" t="s">
        <v>2508</v>
      </c>
      <c r="L1145" t="s">
        <v>2508</v>
      </c>
      <c r="M1145" t="s">
        <v>79</v>
      </c>
      <c r="N1145" t="s">
        <v>2509</v>
      </c>
      <c r="O1145">
        <v>1</v>
      </c>
      <c r="P1145">
        <v>1</v>
      </c>
      <c r="Q1145">
        <v>0</v>
      </c>
      <c r="R1145" s="1">
        <v>46205.659722222219</v>
      </c>
      <c r="S1145" s="1">
        <v>46206.362997685188</v>
      </c>
    </row>
    <row r="1146" spans="1:19" x14ac:dyDescent="0.25">
      <c r="A1146">
        <v>2010114117</v>
      </c>
      <c r="B1146" t="s">
        <v>28</v>
      </c>
      <c r="C1146" t="s">
        <v>29</v>
      </c>
      <c r="D1146" t="s">
        <v>2599</v>
      </c>
      <c r="E1146" t="s">
        <v>2600</v>
      </c>
      <c r="F1146" t="e">
        <f>--ds-btn-action2-padding-y</f>
        <v>#NAME?</v>
      </c>
      <c r="G1146" t="s">
        <v>847</v>
      </c>
      <c r="H1146" t="s">
        <v>847</v>
      </c>
      <c r="I1146" t="s">
        <v>32</v>
      </c>
      <c r="J1146" t="s">
        <v>78</v>
      </c>
      <c r="K1146" t="s">
        <v>2508</v>
      </c>
      <c r="L1146" t="s">
        <v>2508</v>
      </c>
      <c r="M1146" t="s">
        <v>83</v>
      </c>
      <c r="N1146" t="s">
        <v>2509</v>
      </c>
      <c r="O1146">
        <v>1</v>
      </c>
      <c r="P1146">
        <v>1</v>
      </c>
      <c r="Q1146">
        <v>0</v>
      </c>
      <c r="R1146" s="1">
        <v>46205.659722222219</v>
      </c>
      <c r="S1146" s="1">
        <v>46206.362997685188</v>
      </c>
    </row>
    <row r="1147" spans="1:19" x14ac:dyDescent="0.25">
      <c r="A1147">
        <v>2010114118</v>
      </c>
      <c r="B1147" t="s">
        <v>28</v>
      </c>
      <c r="C1147" t="s">
        <v>29</v>
      </c>
      <c r="D1147" t="s">
        <v>2601</v>
      </c>
      <c r="E1147" t="s">
        <v>2602</v>
      </c>
      <c r="F1147" t="e">
        <f>--ds-btn-action2-font-size</f>
        <v>#NAME?</v>
      </c>
      <c r="G1147" t="s">
        <v>843</v>
      </c>
      <c r="H1147" t="s">
        <v>843</v>
      </c>
      <c r="I1147" t="s">
        <v>32</v>
      </c>
      <c r="J1147" t="s">
        <v>2560</v>
      </c>
      <c r="K1147" t="s">
        <v>2508</v>
      </c>
      <c r="L1147" t="s">
        <v>2508</v>
      </c>
      <c r="M1147" t="s">
        <v>2561</v>
      </c>
      <c r="N1147" t="s">
        <v>2509</v>
      </c>
      <c r="O1147">
        <v>1</v>
      </c>
      <c r="P1147">
        <v>1</v>
      </c>
      <c r="Q1147">
        <v>0</v>
      </c>
      <c r="R1147" s="1">
        <v>46205.659722222219</v>
      </c>
      <c r="S1147" s="1">
        <v>46206.362997685188</v>
      </c>
    </row>
    <row r="1148" spans="1:19" x14ac:dyDescent="0.25">
      <c r="A1148">
        <v>2010114119</v>
      </c>
      <c r="B1148" t="s">
        <v>28</v>
      </c>
      <c r="C1148" t="s">
        <v>29</v>
      </c>
      <c r="D1148" t="s">
        <v>2603</v>
      </c>
      <c r="E1148" t="s">
        <v>2604</v>
      </c>
      <c r="F1148" t="e">
        <f>--ds-btn-action2-font-weight</f>
        <v>#NAME?</v>
      </c>
      <c r="G1148">
        <v>500</v>
      </c>
      <c r="H1148">
        <v>500</v>
      </c>
      <c r="I1148" t="s">
        <v>32</v>
      </c>
      <c r="J1148" t="s">
        <v>2560</v>
      </c>
      <c r="K1148" t="s">
        <v>2508</v>
      </c>
      <c r="L1148" t="s">
        <v>2508</v>
      </c>
      <c r="M1148" t="s">
        <v>2564</v>
      </c>
      <c r="N1148" t="s">
        <v>2509</v>
      </c>
      <c r="O1148">
        <v>1</v>
      </c>
      <c r="P1148">
        <v>1</v>
      </c>
      <c r="Q1148">
        <v>0</v>
      </c>
      <c r="R1148" s="1">
        <v>46205.659722222219</v>
      </c>
      <c r="S1148" s="1">
        <v>46206.362997685188</v>
      </c>
    </row>
    <row r="1149" spans="1:19" x14ac:dyDescent="0.25">
      <c r="A1149">
        <v>2010114200</v>
      </c>
      <c r="B1149" t="s">
        <v>28</v>
      </c>
      <c r="C1149" t="s">
        <v>29</v>
      </c>
      <c r="D1149" t="s">
        <v>2605</v>
      </c>
      <c r="E1149" t="s">
        <v>2606</v>
      </c>
      <c r="F1149" t="e">
        <f>--ds-btn-action3-bg</f>
        <v>#NAME?</v>
      </c>
      <c r="G1149" t="s">
        <v>816</v>
      </c>
      <c r="H1149" t="s">
        <v>816</v>
      </c>
      <c r="I1149" t="s">
        <v>32</v>
      </c>
      <c r="J1149" t="s">
        <v>24</v>
      </c>
      <c r="K1149" t="s">
        <v>2508</v>
      </c>
      <c r="L1149" t="s">
        <v>2508</v>
      </c>
      <c r="M1149" t="s">
        <v>26</v>
      </c>
      <c r="N1149" t="s">
        <v>2509</v>
      </c>
      <c r="O1149">
        <v>1</v>
      </c>
      <c r="P1149">
        <v>1</v>
      </c>
      <c r="Q1149">
        <v>0</v>
      </c>
      <c r="R1149" s="1">
        <v>46205.668749999997</v>
      </c>
      <c r="S1149" s="1">
        <v>46206.362997685188</v>
      </c>
    </row>
    <row r="1150" spans="1:19" x14ac:dyDescent="0.25">
      <c r="A1150">
        <v>2010114201</v>
      </c>
      <c r="B1150" t="s">
        <v>28</v>
      </c>
      <c r="C1150" t="s">
        <v>29</v>
      </c>
      <c r="D1150" t="s">
        <v>2607</v>
      </c>
      <c r="E1150" t="s">
        <v>2608</v>
      </c>
      <c r="F1150" t="e">
        <f>--ds-btn-action3-bg-hover</f>
        <v>#NAME?</v>
      </c>
      <c r="G1150" t="s">
        <v>816</v>
      </c>
      <c r="H1150" t="s">
        <v>816</v>
      </c>
      <c r="I1150" t="s">
        <v>32</v>
      </c>
      <c r="J1150" t="s">
        <v>24</v>
      </c>
      <c r="K1150" t="s">
        <v>2508</v>
      </c>
      <c r="L1150" t="s">
        <v>2508</v>
      </c>
      <c r="M1150" t="s">
        <v>2512</v>
      </c>
      <c r="N1150" t="s">
        <v>2509</v>
      </c>
      <c r="O1150">
        <v>1</v>
      </c>
      <c r="P1150">
        <v>1</v>
      </c>
      <c r="Q1150">
        <v>0</v>
      </c>
      <c r="R1150" s="1">
        <v>46205.668749999997</v>
      </c>
      <c r="S1150" s="1">
        <v>46206.362997685188</v>
      </c>
    </row>
    <row r="1151" spans="1:19" x14ac:dyDescent="0.25">
      <c r="A1151">
        <v>2010114202</v>
      </c>
      <c r="B1151" t="s">
        <v>28</v>
      </c>
      <c r="C1151" t="s">
        <v>29</v>
      </c>
      <c r="D1151" t="s">
        <v>2609</v>
      </c>
      <c r="E1151" t="s">
        <v>2610</v>
      </c>
      <c r="F1151" t="e">
        <f>--ds-btn-action3-bg-active</f>
        <v>#NAME?</v>
      </c>
      <c r="G1151" t="s">
        <v>816</v>
      </c>
      <c r="H1151" t="s">
        <v>816</v>
      </c>
      <c r="I1151" t="s">
        <v>32</v>
      </c>
      <c r="J1151" t="s">
        <v>24</v>
      </c>
      <c r="K1151" t="s">
        <v>2508</v>
      </c>
      <c r="L1151" t="s">
        <v>2508</v>
      </c>
      <c r="M1151" t="s">
        <v>2515</v>
      </c>
      <c r="N1151" t="s">
        <v>2509</v>
      </c>
      <c r="O1151">
        <v>1</v>
      </c>
      <c r="P1151">
        <v>1</v>
      </c>
      <c r="Q1151">
        <v>0</v>
      </c>
      <c r="R1151" s="1">
        <v>46205.668749999997</v>
      </c>
      <c r="S1151" s="1">
        <v>46206.362997685188</v>
      </c>
    </row>
    <row r="1152" spans="1:19" x14ac:dyDescent="0.25">
      <c r="A1152">
        <v>2010114203</v>
      </c>
      <c r="B1152" t="s">
        <v>28</v>
      </c>
      <c r="C1152" t="s">
        <v>29</v>
      </c>
      <c r="D1152" t="s">
        <v>2611</v>
      </c>
      <c r="E1152" t="s">
        <v>2612</v>
      </c>
      <c r="F1152" t="e">
        <f>--ds-btn-action3-bg-disabled</f>
        <v>#NAME?</v>
      </c>
      <c r="G1152" t="s">
        <v>816</v>
      </c>
      <c r="H1152" t="s">
        <v>816</v>
      </c>
      <c r="I1152" t="s">
        <v>32</v>
      </c>
      <c r="J1152" t="s">
        <v>24</v>
      </c>
      <c r="K1152" t="s">
        <v>2508</v>
      </c>
      <c r="L1152" t="s">
        <v>2508</v>
      </c>
      <c r="M1152" t="s">
        <v>2518</v>
      </c>
      <c r="N1152" t="s">
        <v>2509</v>
      </c>
      <c r="O1152">
        <v>1</v>
      </c>
      <c r="P1152">
        <v>1</v>
      </c>
      <c r="Q1152">
        <v>0</v>
      </c>
      <c r="R1152" s="1">
        <v>46205.668749999997</v>
      </c>
      <c r="S1152" s="1">
        <v>46206.362997685188</v>
      </c>
    </row>
    <row r="1153" spans="1:19" x14ac:dyDescent="0.25">
      <c r="A1153">
        <v>2010114204</v>
      </c>
      <c r="B1153" t="s">
        <v>28</v>
      </c>
      <c r="C1153" t="s">
        <v>29</v>
      </c>
      <c r="D1153" t="s">
        <v>2613</v>
      </c>
      <c r="E1153" t="s">
        <v>2614</v>
      </c>
      <c r="F1153" t="e">
        <f>--ds-btn-action3-border</f>
        <v>#NAME?</v>
      </c>
      <c r="G1153" t="s">
        <v>816</v>
      </c>
      <c r="H1153" t="s">
        <v>816</v>
      </c>
      <c r="I1153" t="s">
        <v>32</v>
      </c>
      <c r="J1153" t="s">
        <v>24</v>
      </c>
      <c r="K1153" t="s">
        <v>2508</v>
      </c>
      <c r="L1153" t="s">
        <v>2508</v>
      </c>
      <c r="M1153" t="s">
        <v>42</v>
      </c>
      <c r="N1153" t="s">
        <v>2509</v>
      </c>
      <c r="O1153">
        <v>1</v>
      </c>
      <c r="P1153">
        <v>1</v>
      </c>
      <c r="Q1153">
        <v>0</v>
      </c>
      <c r="R1153" s="1">
        <v>46205.668749999997</v>
      </c>
      <c r="S1153" s="1">
        <v>46206.362997685188</v>
      </c>
    </row>
    <row r="1154" spans="1:19" x14ac:dyDescent="0.25">
      <c r="A1154">
        <v>2010114205</v>
      </c>
      <c r="B1154" t="s">
        <v>28</v>
      </c>
      <c r="C1154" t="s">
        <v>29</v>
      </c>
      <c r="D1154" t="s">
        <v>2615</v>
      </c>
      <c r="E1154" t="s">
        <v>2616</v>
      </c>
      <c r="F1154" t="e">
        <f>--ds-btn-action3-border-hover</f>
        <v>#NAME?</v>
      </c>
      <c r="G1154" t="s">
        <v>816</v>
      </c>
      <c r="H1154" t="s">
        <v>816</v>
      </c>
      <c r="I1154" t="s">
        <v>32</v>
      </c>
      <c r="J1154" t="s">
        <v>24</v>
      </c>
      <c r="K1154" t="s">
        <v>2508</v>
      </c>
      <c r="L1154" t="s">
        <v>2508</v>
      </c>
      <c r="M1154" t="s">
        <v>2523</v>
      </c>
      <c r="N1154" t="s">
        <v>2509</v>
      </c>
      <c r="O1154">
        <v>1</v>
      </c>
      <c r="P1154">
        <v>1</v>
      </c>
      <c r="Q1154">
        <v>0</v>
      </c>
      <c r="R1154" s="1">
        <v>46205.668749999997</v>
      </c>
      <c r="S1154" s="1">
        <v>46206.362997685188</v>
      </c>
    </row>
    <row r="1155" spans="1:19" x14ac:dyDescent="0.25">
      <c r="A1155">
        <v>2010114206</v>
      </c>
      <c r="B1155" t="s">
        <v>28</v>
      </c>
      <c r="C1155" t="s">
        <v>29</v>
      </c>
      <c r="D1155" t="s">
        <v>2617</v>
      </c>
      <c r="E1155" t="s">
        <v>2618</v>
      </c>
      <c r="F1155" t="e">
        <f>--ds-btn-action3-border-active</f>
        <v>#NAME?</v>
      </c>
      <c r="G1155" t="s">
        <v>816</v>
      </c>
      <c r="H1155" t="s">
        <v>816</v>
      </c>
      <c r="I1155" t="s">
        <v>32</v>
      </c>
      <c r="J1155" t="s">
        <v>24</v>
      </c>
      <c r="K1155" t="s">
        <v>2508</v>
      </c>
      <c r="L1155" t="s">
        <v>2508</v>
      </c>
      <c r="M1155" t="s">
        <v>2526</v>
      </c>
      <c r="N1155" t="s">
        <v>2509</v>
      </c>
      <c r="O1155">
        <v>1</v>
      </c>
      <c r="P1155">
        <v>1</v>
      </c>
      <c r="Q1155">
        <v>0</v>
      </c>
      <c r="R1155" s="1">
        <v>46205.668749999997</v>
      </c>
      <c r="S1155" s="1">
        <v>46206.362997685188</v>
      </c>
    </row>
    <row r="1156" spans="1:19" x14ac:dyDescent="0.25">
      <c r="A1156">
        <v>2010114207</v>
      </c>
      <c r="B1156" t="s">
        <v>28</v>
      </c>
      <c r="C1156" t="s">
        <v>29</v>
      </c>
      <c r="D1156" t="s">
        <v>2619</v>
      </c>
      <c r="E1156" t="s">
        <v>2620</v>
      </c>
      <c r="F1156" t="e">
        <f>--ds-btn-action3-border-disabled</f>
        <v>#NAME?</v>
      </c>
      <c r="G1156" t="s">
        <v>816</v>
      </c>
      <c r="H1156" t="s">
        <v>816</v>
      </c>
      <c r="I1156" t="s">
        <v>32</v>
      </c>
      <c r="J1156" t="s">
        <v>24</v>
      </c>
      <c r="K1156" t="s">
        <v>2508</v>
      </c>
      <c r="L1156" t="s">
        <v>2508</v>
      </c>
      <c r="M1156" t="s">
        <v>2529</v>
      </c>
      <c r="N1156" t="s">
        <v>2509</v>
      </c>
      <c r="O1156">
        <v>1</v>
      </c>
      <c r="P1156">
        <v>1</v>
      </c>
      <c r="Q1156">
        <v>0</v>
      </c>
      <c r="R1156" s="1">
        <v>46205.668749999997</v>
      </c>
      <c r="S1156" s="1">
        <v>46206.362997685188</v>
      </c>
    </row>
    <row r="1157" spans="1:19" x14ac:dyDescent="0.25">
      <c r="A1157">
        <v>2010114208</v>
      </c>
      <c r="B1157" t="s">
        <v>28</v>
      </c>
      <c r="C1157" t="s">
        <v>29</v>
      </c>
      <c r="D1157" t="s">
        <v>2621</v>
      </c>
      <c r="E1157" t="s">
        <v>2622</v>
      </c>
      <c r="F1157" t="e">
        <f>--ds-btn-action3-color</f>
        <v>#NAME?</v>
      </c>
      <c r="G1157" t="s">
        <v>37</v>
      </c>
      <c r="H1157" t="s">
        <v>37</v>
      </c>
      <c r="I1157" t="s">
        <v>32</v>
      </c>
      <c r="J1157" t="s">
        <v>24</v>
      </c>
      <c r="K1157" t="s">
        <v>2508</v>
      </c>
      <c r="L1157" t="s">
        <v>2508</v>
      </c>
      <c r="M1157" t="s">
        <v>24</v>
      </c>
      <c r="N1157" t="s">
        <v>2509</v>
      </c>
      <c r="O1157">
        <v>1</v>
      </c>
      <c r="P1157">
        <v>1</v>
      </c>
      <c r="Q1157">
        <v>0</v>
      </c>
      <c r="R1157" s="1">
        <v>46205.668749999997</v>
      </c>
      <c r="S1157" s="1">
        <v>46206.362997685188</v>
      </c>
    </row>
    <row r="1158" spans="1:19" x14ac:dyDescent="0.25">
      <c r="A1158">
        <v>2010114209</v>
      </c>
      <c r="B1158" t="s">
        <v>28</v>
      </c>
      <c r="C1158" t="s">
        <v>29</v>
      </c>
      <c r="D1158" t="s">
        <v>2623</v>
      </c>
      <c r="E1158" t="s">
        <v>2624</v>
      </c>
      <c r="F1158" t="e">
        <f>--ds-btn-action3-color-hover</f>
        <v>#NAME?</v>
      </c>
      <c r="G1158" t="s">
        <v>37</v>
      </c>
      <c r="H1158" t="s">
        <v>37</v>
      </c>
      <c r="I1158" t="s">
        <v>32</v>
      </c>
      <c r="J1158" t="s">
        <v>24</v>
      </c>
      <c r="K1158" t="s">
        <v>2508</v>
      </c>
      <c r="L1158" t="s">
        <v>2508</v>
      </c>
      <c r="M1158" t="s">
        <v>2534</v>
      </c>
      <c r="N1158" t="s">
        <v>2509</v>
      </c>
      <c r="O1158">
        <v>1</v>
      </c>
      <c r="P1158">
        <v>1</v>
      </c>
      <c r="Q1158">
        <v>0</v>
      </c>
      <c r="R1158" s="1">
        <v>46205.668749999997</v>
      </c>
      <c r="S1158" s="1">
        <v>46206.362997685188</v>
      </c>
    </row>
    <row r="1159" spans="1:19" x14ac:dyDescent="0.25">
      <c r="A1159">
        <v>2010114210</v>
      </c>
      <c r="B1159" t="s">
        <v>28</v>
      </c>
      <c r="C1159" t="s">
        <v>29</v>
      </c>
      <c r="D1159" t="s">
        <v>2625</v>
      </c>
      <c r="E1159" t="s">
        <v>2626</v>
      </c>
      <c r="F1159" t="e">
        <f>--ds-btn-action3-color-active</f>
        <v>#NAME?</v>
      </c>
      <c r="G1159" t="s">
        <v>37</v>
      </c>
      <c r="H1159" t="s">
        <v>37</v>
      </c>
      <c r="I1159" t="s">
        <v>32</v>
      </c>
      <c r="J1159" t="s">
        <v>24</v>
      </c>
      <c r="K1159" t="s">
        <v>2508</v>
      </c>
      <c r="L1159" t="s">
        <v>2508</v>
      </c>
      <c r="M1159" t="s">
        <v>2537</v>
      </c>
      <c r="N1159" t="s">
        <v>2509</v>
      </c>
      <c r="O1159">
        <v>1</v>
      </c>
      <c r="P1159">
        <v>1</v>
      </c>
      <c r="Q1159">
        <v>0</v>
      </c>
      <c r="R1159" s="1">
        <v>46205.668749999997</v>
      </c>
      <c r="S1159" s="1">
        <v>46206.362997685188</v>
      </c>
    </row>
    <row r="1160" spans="1:19" x14ac:dyDescent="0.25">
      <c r="A1160">
        <v>2010114211</v>
      </c>
      <c r="B1160" t="s">
        <v>28</v>
      </c>
      <c r="C1160" t="s">
        <v>29</v>
      </c>
      <c r="D1160" t="s">
        <v>2627</v>
      </c>
      <c r="E1160" t="s">
        <v>2628</v>
      </c>
      <c r="F1160" t="e">
        <f>--ds-btn-action3-color-disabled</f>
        <v>#NAME?</v>
      </c>
      <c r="G1160" t="s">
        <v>37</v>
      </c>
      <c r="H1160" t="s">
        <v>37</v>
      </c>
      <c r="I1160" t="s">
        <v>32</v>
      </c>
      <c r="J1160" t="s">
        <v>24</v>
      </c>
      <c r="K1160" t="s">
        <v>2508</v>
      </c>
      <c r="L1160" t="s">
        <v>2508</v>
      </c>
      <c r="M1160" t="s">
        <v>2540</v>
      </c>
      <c r="N1160" t="s">
        <v>2509</v>
      </c>
      <c r="O1160">
        <v>1</v>
      </c>
      <c r="P1160">
        <v>1</v>
      </c>
      <c r="Q1160">
        <v>0</v>
      </c>
      <c r="R1160" s="1">
        <v>46205.668749999997</v>
      </c>
      <c r="S1160" s="1">
        <v>46206.362997685188</v>
      </c>
    </row>
    <row r="1161" spans="1:19" x14ac:dyDescent="0.25">
      <c r="A1161">
        <v>2010114212</v>
      </c>
      <c r="B1161" t="s">
        <v>28</v>
      </c>
      <c r="C1161" t="s">
        <v>29</v>
      </c>
      <c r="D1161" t="s">
        <v>2629</v>
      </c>
      <c r="E1161" t="s">
        <v>2630</v>
      </c>
      <c r="F1161" t="e">
        <f>--ds-btn-action3-shadow</f>
        <v>#NAME?</v>
      </c>
      <c r="G1161" t="s">
        <v>94</v>
      </c>
      <c r="H1161" t="s">
        <v>94</v>
      </c>
      <c r="I1161" t="s">
        <v>32</v>
      </c>
      <c r="J1161" t="s">
        <v>69</v>
      </c>
      <c r="K1161" t="s">
        <v>2508</v>
      </c>
      <c r="L1161" t="s">
        <v>2508</v>
      </c>
      <c r="M1161" t="s">
        <v>70</v>
      </c>
      <c r="N1161" t="s">
        <v>2509</v>
      </c>
      <c r="O1161">
        <v>1</v>
      </c>
      <c r="P1161">
        <v>1</v>
      </c>
      <c r="Q1161">
        <v>0</v>
      </c>
      <c r="R1161" s="1">
        <v>46205.668749999997</v>
      </c>
      <c r="S1161" s="1">
        <v>46206.362997685188</v>
      </c>
    </row>
    <row r="1162" spans="1:19" x14ac:dyDescent="0.25">
      <c r="A1162">
        <v>2010114213</v>
      </c>
      <c r="B1162" t="s">
        <v>28</v>
      </c>
      <c r="C1162" t="s">
        <v>29</v>
      </c>
      <c r="D1162" t="s">
        <v>2631</v>
      </c>
      <c r="E1162" t="s">
        <v>2632</v>
      </c>
      <c r="F1162" t="e">
        <f>--ds-btn-action3-shadow-hover</f>
        <v>#NAME?</v>
      </c>
      <c r="G1162" t="s">
        <v>94</v>
      </c>
      <c r="H1162" t="s">
        <v>94</v>
      </c>
      <c r="I1162" t="s">
        <v>32</v>
      </c>
      <c r="J1162" t="s">
        <v>69</v>
      </c>
      <c r="K1162" t="s">
        <v>2508</v>
      </c>
      <c r="L1162" t="s">
        <v>2508</v>
      </c>
      <c r="M1162" t="s">
        <v>2545</v>
      </c>
      <c r="N1162" t="s">
        <v>2509</v>
      </c>
      <c r="O1162">
        <v>1</v>
      </c>
      <c r="P1162">
        <v>1</v>
      </c>
      <c r="Q1162">
        <v>0</v>
      </c>
      <c r="R1162" s="1">
        <v>46205.668749999997</v>
      </c>
      <c r="S1162" s="1">
        <v>46206.362997685188</v>
      </c>
    </row>
    <row r="1163" spans="1:19" x14ac:dyDescent="0.25">
      <c r="A1163">
        <v>2010114214</v>
      </c>
      <c r="B1163" t="s">
        <v>28</v>
      </c>
      <c r="C1163" t="s">
        <v>29</v>
      </c>
      <c r="D1163" t="s">
        <v>2633</v>
      </c>
      <c r="E1163" t="s">
        <v>2634</v>
      </c>
      <c r="F1163" t="e">
        <f>--ds-btn-action3-shadow-active</f>
        <v>#NAME?</v>
      </c>
      <c r="G1163" t="s">
        <v>94</v>
      </c>
      <c r="H1163" t="s">
        <v>94</v>
      </c>
      <c r="I1163" t="s">
        <v>32</v>
      </c>
      <c r="J1163" t="s">
        <v>69</v>
      </c>
      <c r="K1163" t="s">
        <v>2508</v>
      </c>
      <c r="L1163" t="s">
        <v>2508</v>
      </c>
      <c r="M1163" t="s">
        <v>2548</v>
      </c>
      <c r="N1163" t="s">
        <v>2509</v>
      </c>
      <c r="O1163">
        <v>1</v>
      </c>
      <c r="P1163">
        <v>1</v>
      </c>
      <c r="Q1163">
        <v>0</v>
      </c>
      <c r="R1163" s="1">
        <v>46205.668749999997</v>
      </c>
      <c r="S1163" s="1">
        <v>46206.362997685188</v>
      </c>
    </row>
    <row r="1164" spans="1:19" x14ac:dyDescent="0.25">
      <c r="A1164">
        <v>2010114215</v>
      </c>
      <c r="B1164" t="s">
        <v>28</v>
      </c>
      <c r="C1164" t="s">
        <v>29</v>
      </c>
      <c r="D1164" t="s">
        <v>2635</v>
      </c>
      <c r="E1164" t="s">
        <v>2636</v>
      </c>
      <c r="F1164" t="e">
        <f>--ds-btn-action3-radius</f>
        <v>#NAME?</v>
      </c>
      <c r="G1164" t="s">
        <v>2551</v>
      </c>
      <c r="H1164" t="s">
        <v>2551</v>
      </c>
      <c r="I1164" t="s">
        <v>32</v>
      </c>
      <c r="J1164" t="s">
        <v>69</v>
      </c>
      <c r="K1164" t="s">
        <v>2508</v>
      </c>
      <c r="L1164" t="s">
        <v>2508</v>
      </c>
      <c r="M1164" t="s">
        <v>74</v>
      </c>
      <c r="N1164" t="s">
        <v>2509</v>
      </c>
      <c r="O1164">
        <v>1</v>
      </c>
      <c r="P1164">
        <v>1</v>
      </c>
      <c r="Q1164">
        <v>0</v>
      </c>
      <c r="R1164" s="1">
        <v>46205.668749999997</v>
      </c>
      <c r="S1164" s="1">
        <v>46206.362997685188</v>
      </c>
    </row>
    <row r="1165" spans="1:19" x14ac:dyDescent="0.25">
      <c r="A1165">
        <v>2010114216</v>
      </c>
      <c r="B1165" t="s">
        <v>28</v>
      </c>
      <c r="C1165" t="s">
        <v>29</v>
      </c>
      <c r="D1165" t="s">
        <v>2637</v>
      </c>
      <c r="E1165" t="s">
        <v>2638</v>
      </c>
      <c r="F1165" t="e">
        <f>--ds-btn-action3-padding-x</f>
        <v>#NAME?</v>
      </c>
      <c r="G1165" t="s">
        <v>2554</v>
      </c>
      <c r="H1165" t="s">
        <v>2554</v>
      </c>
      <c r="I1165" t="s">
        <v>32</v>
      </c>
      <c r="J1165" t="s">
        <v>78</v>
      </c>
      <c r="K1165" t="s">
        <v>2508</v>
      </c>
      <c r="L1165" t="s">
        <v>2508</v>
      </c>
      <c r="M1165" t="s">
        <v>79</v>
      </c>
      <c r="N1165" t="s">
        <v>2509</v>
      </c>
      <c r="O1165">
        <v>1</v>
      </c>
      <c r="P1165">
        <v>1</v>
      </c>
      <c r="Q1165">
        <v>0</v>
      </c>
      <c r="R1165" s="1">
        <v>46205.668749999997</v>
      </c>
      <c r="S1165" s="1">
        <v>46206.362997685188</v>
      </c>
    </row>
    <row r="1166" spans="1:19" x14ac:dyDescent="0.25">
      <c r="A1166">
        <v>2010114217</v>
      </c>
      <c r="B1166" t="s">
        <v>28</v>
      </c>
      <c r="C1166" t="s">
        <v>29</v>
      </c>
      <c r="D1166" t="s">
        <v>2639</v>
      </c>
      <c r="E1166" t="s">
        <v>2640</v>
      </c>
      <c r="F1166" t="e">
        <f>--ds-btn-action3-padding-y</f>
        <v>#NAME?</v>
      </c>
      <c r="G1166" t="s">
        <v>847</v>
      </c>
      <c r="H1166" t="s">
        <v>847</v>
      </c>
      <c r="I1166" t="s">
        <v>32</v>
      </c>
      <c r="J1166" t="s">
        <v>78</v>
      </c>
      <c r="K1166" t="s">
        <v>2508</v>
      </c>
      <c r="L1166" t="s">
        <v>2508</v>
      </c>
      <c r="M1166" t="s">
        <v>83</v>
      </c>
      <c r="N1166" t="s">
        <v>2509</v>
      </c>
      <c r="O1166">
        <v>1</v>
      </c>
      <c r="P1166">
        <v>1</v>
      </c>
      <c r="Q1166">
        <v>0</v>
      </c>
      <c r="R1166" s="1">
        <v>46205.668749999997</v>
      </c>
      <c r="S1166" s="1">
        <v>46206.362997685188</v>
      </c>
    </row>
    <row r="1167" spans="1:19" x14ac:dyDescent="0.25">
      <c r="A1167">
        <v>2010114218</v>
      </c>
      <c r="B1167" t="s">
        <v>28</v>
      </c>
      <c r="C1167" t="s">
        <v>29</v>
      </c>
      <c r="D1167" t="s">
        <v>2641</v>
      </c>
      <c r="E1167" t="s">
        <v>2642</v>
      </c>
      <c r="F1167" t="e">
        <f>--ds-btn-action3-font-size</f>
        <v>#NAME?</v>
      </c>
      <c r="G1167" t="s">
        <v>843</v>
      </c>
      <c r="H1167" t="s">
        <v>843</v>
      </c>
      <c r="I1167" t="s">
        <v>32</v>
      </c>
      <c r="J1167" t="s">
        <v>2560</v>
      </c>
      <c r="K1167" t="s">
        <v>2508</v>
      </c>
      <c r="L1167" t="s">
        <v>2508</v>
      </c>
      <c r="M1167" t="s">
        <v>2561</v>
      </c>
      <c r="N1167" t="s">
        <v>2509</v>
      </c>
      <c r="O1167">
        <v>1</v>
      </c>
      <c r="P1167">
        <v>1</v>
      </c>
      <c r="Q1167">
        <v>0</v>
      </c>
      <c r="R1167" s="1">
        <v>46205.668749999997</v>
      </c>
      <c r="S1167" s="1">
        <v>46206.362997685188</v>
      </c>
    </row>
    <row r="1168" spans="1:19" x14ac:dyDescent="0.25">
      <c r="A1168">
        <v>2010114219</v>
      </c>
      <c r="B1168" t="s">
        <v>28</v>
      </c>
      <c r="C1168" t="s">
        <v>29</v>
      </c>
      <c r="D1168" t="s">
        <v>2643</v>
      </c>
      <c r="E1168" t="s">
        <v>2644</v>
      </c>
      <c r="F1168" t="e">
        <f>--ds-btn-action3-font-weight</f>
        <v>#NAME?</v>
      </c>
      <c r="G1168">
        <v>500</v>
      </c>
      <c r="H1168">
        <v>500</v>
      </c>
      <c r="I1168" t="s">
        <v>32</v>
      </c>
      <c r="J1168" t="s">
        <v>2560</v>
      </c>
      <c r="K1168" t="s">
        <v>2508</v>
      </c>
      <c r="L1168" t="s">
        <v>2508</v>
      </c>
      <c r="M1168" t="s">
        <v>2564</v>
      </c>
      <c r="N1168" t="s">
        <v>2509</v>
      </c>
      <c r="O1168">
        <v>1</v>
      </c>
      <c r="P1168">
        <v>1</v>
      </c>
      <c r="Q1168">
        <v>0</v>
      </c>
      <c r="R1168" s="1">
        <v>46205.668749999997</v>
      </c>
      <c r="S1168" s="1">
        <v>46206.362997685188</v>
      </c>
    </row>
    <row r="1169" spans="1:19" x14ac:dyDescent="0.25">
      <c r="A1169">
        <v>2010114300</v>
      </c>
      <c r="B1169" t="s">
        <v>28</v>
      </c>
      <c r="C1169" t="s">
        <v>29</v>
      </c>
      <c r="D1169" t="s">
        <v>2645</v>
      </c>
      <c r="E1169" t="s">
        <v>2646</v>
      </c>
      <c r="F1169" t="e">
        <f>--ds-btn-action4-bg</f>
        <v>#NAME?</v>
      </c>
      <c r="G1169" t="s">
        <v>816</v>
      </c>
      <c r="H1169" t="s">
        <v>816</v>
      </c>
      <c r="I1169" t="s">
        <v>32</v>
      </c>
      <c r="J1169" t="s">
        <v>24</v>
      </c>
      <c r="K1169" t="s">
        <v>2508</v>
      </c>
      <c r="L1169" t="s">
        <v>2508</v>
      </c>
      <c r="M1169" t="s">
        <v>26</v>
      </c>
      <c r="N1169" t="s">
        <v>2509</v>
      </c>
      <c r="O1169">
        <v>1</v>
      </c>
      <c r="P1169">
        <v>1</v>
      </c>
      <c r="Q1169">
        <v>0</v>
      </c>
      <c r="R1169" s="1">
        <v>46205.669444444444</v>
      </c>
      <c r="S1169" s="1">
        <v>46206.362997685188</v>
      </c>
    </row>
    <row r="1170" spans="1:19" x14ac:dyDescent="0.25">
      <c r="A1170">
        <v>2010114301</v>
      </c>
      <c r="B1170" t="s">
        <v>28</v>
      </c>
      <c r="C1170" t="s">
        <v>29</v>
      </c>
      <c r="D1170" t="s">
        <v>2647</v>
      </c>
      <c r="E1170" t="s">
        <v>2648</v>
      </c>
      <c r="F1170" t="e">
        <f>--ds-btn-action4-bg-hover</f>
        <v>#NAME?</v>
      </c>
      <c r="G1170" t="s">
        <v>816</v>
      </c>
      <c r="H1170" t="s">
        <v>816</v>
      </c>
      <c r="I1170" t="s">
        <v>32</v>
      </c>
      <c r="J1170" t="s">
        <v>24</v>
      </c>
      <c r="K1170" t="s">
        <v>2508</v>
      </c>
      <c r="L1170" t="s">
        <v>2508</v>
      </c>
      <c r="M1170" t="s">
        <v>2512</v>
      </c>
      <c r="N1170" t="s">
        <v>2509</v>
      </c>
      <c r="O1170">
        <v>1</v>
      </c>
      <c r="P1170">
        <v>1</v>
      </c>
      <c r="Q1170">
        <v>0</v>
      </c>
      <c r="R1170" s="1">
        <v>46205.669444444444</v>
      </c>
      <c r="S1170" s="1">
        <v>46206.362997685188</v>
      </c>
    </row>
    <row r="1171" spans="1:19" x14ac:dyDescent="0.25">
      <c r="A1171">
        <v>2010114302</v>
      </c>
      <c r="B1171" t="s">
        <v>28</v>
      </c>
      <c r="C1171" t="s">
        <v>29</v>
      </c>
      <c r="D1171" t="s">
        <v>2649</v>
      </c>
      <c r="E1171" t="s">
        <v>2650</v>
      </c>
      <c r="F1171" t="e">
        <f>--ds-btn-action4-bg-active</f>
        <v>#NAME?</v>
      </c>
      <c r="G1171" t="s">
        <v>816</v>
      </c>
      <c r="H1171" t="s">
        <v>816</v>
      </c>
      <c r="I1171" t="s">
        <v>32</v>
      </c>
      <c r="J1171" t="s">
        <v>24</v>
      </c>
      <c r="K1171" t="s">
        <v>2508</v>
      </c>
      <c r="L1171" t="s">
        <v>2508</v>
      </c>
      <c r="M1171" t="s">
        <v>2515</v>
      </c>
      <c r="N1171" t="s">
        <v>2509</v>
      </c>
      <c r="O1171">
        <v>1</v>
      </c>
      <c r="P1171">
        <v>1</v>
      </c>
      <c r="Q1171">
        <v>0</v>
      </c>
      <c r="R1171" s="1">
        <v>46205.669444444444</v>
      </c>
      <c r="S1171" s="1">
        <v>46206.362997685188</v>
      </c>
    </row>
    <row r="1172" spans="1:19" x14ac:dyDescent="0.25">
      <c r="A1172">
        <v>2010114303</v>
      </c>
      <c r="B1172" t="s">
        <v>28</v>
      </c>
      <c r="C1172" t="s">
        <v>29</v>
      </c>
      <c r="D1172" t="s">
        <v>2651</v>
      </c>
      <c r="E1172" t="s">
        <v>2652</v>
      </c>
      <c r="F1172" t="e">
        <f>--ds-btn-action4-bg-disabled</f>
        <v>#NAME?</v>
      </c>
      <c r="G1172" t="s">
        <v>816</v>
      </c>
      <c r="H1172" t="s">
        <v>816</v>
      </c>
      <c r="I1172" t="s">
        <v>32</v>
      </c>
      <c r="J1172" t="s">
        <v>24</v>
      </c>
      <c r="K1172" t="s">
        <v>2508</v>
      </c>
      <c r="L1172" t="s">
        <v>2508</v>
      </c>
      <c r="M1172" t="s">
        <v>2518</v>
      </c>
      <c r="N1172" t="s">
        <v>2509</v>
      </c>
      <c r="O1172">
        <v>1</v>
      </c>
      <c r="P1172">
        <v>1</v>
      </c>
      <c r="Q1172">
        <v>0</v>
      </c>
      <c r="R1172" s="1">
        <v>46205.669444444444</v>
      </c>
      <c r="S1172" s="1">
        <v>46206.362997685188</v>
      </c>
    </row>
    <row r="1173" spans="1:19" x14ac:dyDescent="0.25">
      <c r="A1173">
        <v>2010114304</v>
      </c>
      <c r="B1173" t="s">
        <v>28</v>
      </c>
      <c r="C1173" t="s">
        <v>29</v>
      </c>
      <c r="D1173" t="s">
        <v>2653</v>
      </c>
      <c r="E1173" t="s">
        <v>2654</v>
      </c>
      <c r="F1173" t="e">
        <f>--ds-btn-action4-border</f>
        <v>#NAME?</v>
      </c>
      <c r="G1173" t="s">
        <v>816</v>
      </c>
      <c r="H1173" t="s">
        <v>816</v>
      </c>
      <c r="I1173" t="s">
        <v>32</v>
      </c>
      <c r="J1173" t="s">
        <v>24</v>
      </c>
      <c r="K1173" t="s">
        <v>2508</v>
      </c>
      <c r="L1173" t="s">
        <v>2508</v>
      </c>
      <c r="M1173" t="s">
        <v>42</v>
      </c>
      <c r="N1173" t="s">
        <v>2509</v>
      </c>
      <c r="O1173">
        <v>1</v>
      </c>
      <c r="P1173">
        <v>1</v>
      </c>
      <c r="Q1173">
        <v>0</v>
      </c>
      <c r="R1173" s="1">
        <v>46205.669444444444</v>
      </c>
      <c r="S1173" s="1">
        <v>46206.362997685188</v>
      </c>
    </row>
    <row r="1174" spans="1:19" x14ac:dyDescent="0.25">
      <c r="A1174">
        <v>2010114305</v>
      </c>
      <c r="B1174" t="s">
        <v>28</v>
      </c>
      <c r="C1174" t="s">
        <v>29</v>
      </c>
      <c r="D1174" t="s">
        <v>2655</v>
      </c>
      <c r="E1174" t="s">
        <v>2656</v>
      </c>
      <c r="F1174" t="e">
        <f>--ds-btn-action4-border-hover</f>
        <v>#NAME?</v>
      </c>
      <c r="G1174" t="s">
        <v>816</v>
      </c>
      <c r="H1174" t="s">
        <v>816</v>
      </c>
      <c r="I1174" t="s">
        <v>32</v>
      </c>
      <c r="J1174" t="s">
        <v>24</v>
      </c>
      <c r="K1174" t="s">
        <v>2508</v>
      </c>
      <c r="L1174" t="s">
        <v>2508</v>
      </c>
      <c r="M1174" t="s">
        <v>2523</v>
      </c>
      <c r="N1174" t="s">
        <v>2509</v>
      </c>
      <c r="O1174">
        <v>1</v>
      </c>
      <c r="P1174">
        <v>1</v>
      </c>
      <c r="Q1174">
        <v>0</v>
      </c>
      <c r="R1174" s="1">
        <v>46205.669444444444</v>
      </c>
      <c r="S1174" s="1">
        <v>46206.362997685188</v>
      </c>
    </row>
    <row r="1175" spans="1:19" x14ac:dyDescent="0.25">
      <c r="A1175">
        <v>2010114306</v>
      </c>
      <c r="B1175" t="s">
        <v>28</v>
      </c>
      <c r="C1175" t="s">
        <v>29</v>
      </c>
      <c r="D1175" t="s">
        <v>2657</v>
      </c>
      <c r="E1175" t="s">
        <v>2658</v>
      </c>
      <c r="F1175" t="e">
        <f>--ds-btn-action4-border-active</f>
        <v>#NAME?</v>
      </c>
      <c r="G1175" t="s">
        <v>816</v>
      </c>
      <c r="H1175" t="s">
        <v>816</v>
      </c>
      <c r="I1175" t="s">
        <v>32</v>
      </c>
      <c r="J1175" t="s">
        <v>24</v>
      </c>
      <c r="K1175" t="s">
        <v>2508</v>
      </c>
      <c r="L1175" t="s">
        <v>2508</v>
      </c>
      <c r="M1175" t="s">
        <v>2526</v>
      </c>
      <c r="N1175" t="s">
        <v>2509</v>
      </c>
      <c r="O1175">
        <v>1</v>
      </c>
      <c r="P1175">
        <v>1</v>
      </c>
      <c r="Q1175">
        <v>0</v>
      </c>
      <c r="R1175" s="1">
        <v>46205.669444444444</v>
      </c>
      <c r="S1175" s="1">
        <v>46206.362997685188</v>
      </c>
    </row>
    <row r="1176" spans="1:19" x14ac:dyDescent="0.25">
      <c r="A1176">
        <v>2010114307</v>
      </c>
      <c r="B1176" t="s">
        <v>28</v>
      </c>
      <c r="C1176" t="s">
        <v>29</v>
      </c>
      <c r="D1176" t="s">
        <v>2659</v>
      </c>
      <c r="E1176" t="s">
        <v>2660</v>
      </c>
      <c r="F1176" t="e">
        <f>--ds-btn-action4-border-disabled</f>
        <v>#NAME?</v>
      </c>
      <c r="G1176" t="s">
        <v>816</v>
      </c>
      <c r="H1176" t="s">
        <v>816</v>
      </c>
      <c r="I1176" t="s">
        <v>32</v>
      </c>
      <c r="J1176" t="s">
        <v>24</v>
      </c>
      <c r="K1176" t="s">
        <v>2508</v>
      </c>
      <c r="L1176" t="s">
        <v>2508</v>
      </c>
      <c r="M1176" t="s">
        <v>2529</v>
      </c>
      <c r="N1176" t="s">
        <v>2509</v>
      </c>
      <c r="O1176">
        <v>1</v>
      </c>
      <c r="P1176">
        <v>1</v>
      </c>
      <c r="Q1176">
        <v>0</v>
      </c>
      <c r="R1176" s="1">
        <v>46205.669444444444</v>
      </c>
      <c r="S1176" s="1">
        <v>46206.362997685188</v>
      </c>
    </row>
    <row r="1177" spans="1:19" x14ac:dyDescent="0.25">
      <c r="A1177">
        <v>2010114308</v>
      </c>
      <c r="B1177" t="s">
        <v>28</v>
      </c>
      <c r="C1177" t="s">
        <v>29</v>
      </c>
      <c r="D1177" t="s">
        <v>2661</v>
      </c>
      <c r="E1177" t="s">
        <v>2662</v>
      </c>
      <c r="F1177" t="e">
        <f>--ds-btn-action4-color</f>
        <v>#NAME?</v>
      </c>
      <c r="G1177" t="s">
        <v>37</v>
      </c>
      <c r="H1177" t="s">
        <v>37</v>
      </c>
      <c r="I1177" t="s">
        <v>32</v>
      </c>
      <c r="J1177" t="s">
        <v>24</v>
      </c>
      <c r="K1177" t="s">
        <v>2508</v>
      </c>
      <c r="L1177" t="s">
        <v>2508</v>
      </c>
      <c r="M1177" t="s">
        <v>24</v>
      </c>
      <c r="N1177" t="s">
        <v>2509</v>
      </c>
      <c r="O1177">
        <v>1</v>
      </c>
      <c r="P1177">
        <v>1</v>
      </c>
      <c r="Q1177">
        <v>0</v>
      </c>
      <c r="R1177" s="1">
        <v>46205.669444444444</v>
      </c>
      <c r="S1177" s="1">
        <v>46206.362997685188</v>
      </c>
    </row>
    <row r="1178" spans="1:19" x14ac:dyDescent="0.25">
      <c r="A1178">
        <v>2010114309</v>
      </c>
      <c r="B1178" t="s">
        <v>28</v>
      </c>
      <c r="C1178" t="s">
        <v>29</v>
      </c>
      <c r="D1178" t="s">
        <v>2663</v>
      </c>
      <c r="E1178" t="s">
        <v>2664</v>
      </c>
      <c r="F1178" t="e">
        <f>--ds-btn-action4-color-hover</f>
        <v>#NAME?</v>
      </c>
      <c r="G1178" t="s">
        <v>37</v>
      </c>
      <c r="H1178" t="s">
        <v>37</v>
      </c>
      <c r="I1178" t="s">
        <v>32</v>
      </c>
      <c r="J1178" t="s">
        <v>24</v>
      </c>
      <c r="K1178" t="s">
        <v>2508</v>
      </c>
      <c r="L1178" t="s">
        <v>2508</v>
      </c>
      <c r="M1178" t="s">
        <v>2534</v>
      </c>
      <c r="N1178" t="s">
        <v>2509</v>
      </c>
      <c r="O1178">
        <v>1</v>
      </c>
      <c r="P1178">
        <v>1</v>
      </c>
      <c r="Q1178">
        <v>0</v>
      </c>
      <c r="R1178" s="1">
        <v>46205.669444444444</v>
      </c>
      <c r="S1178" s="1">
        <v>46206.362997685188</v>
      </c>
    </row>
    <row r="1179" spans="1:19" x14ac:dyDescent="0.25">
      <c r="A1179">
        <v>2010114310</v>
      </c>
      <c r="B1179" t="s">
        <v>28</v>
      </c>
      <c r="C1179" t="s">
        <v>29</v>
      </c>
      <c r="D1179" t="s">
        <v>2665</v>
      </c>
      <c r="E1179" t="s">
        <v>2666</v>
      </c>
      <c r="F1179" t="e">
        <f>--ds-btn-action4-color-active</f>
        <v>#NAME?</v>
      </c>
      <c r="G1179" t="s">
        <v>37</v>
      </c>
      <c r="H1179" t="s">
        <v>37</v>
      </c>
      <c r="I1179" t="s">
        <v>32</v>
      </c>
      <c r="J1179" t="s">
        <v>24</v>
      </c>
      <c r="K1179" t="s">
        <v>2508</v>
      </c>
      <c r="L1179" t="s">
        <v>2508</v>
      </c>
      <c r="M1179" t="s">
        <v>2537</v>
      </c>
      <c r="N1179" t="s">
        <v>2509</v>
      </c>
      <c r="O1179">
        <v>1</v>
      </c>
      <c r="P1179">
        <v>1</v>
      </c>
      <c r="Q1179">
        <v>0</v>
      </c>
      <c r="R1179" s="1">
        <v>46205.669444444444</v>
      </c>
      <c r="S1179" s="1">
        <v>46206.362997685188</v>
      </c>
    </row>
    <row r="1180" spans="1:19" x14ac:dyDescent="0.25">
      <c r="A1180">
        <v>2010114311</v>
      </c>
      <c r="B1180" t="s">
        <v>28</v>
      </c>
      <c r="C1180" t="s">
        <v>29</v>
      </c>
      <c r="D1180" t="s">
        <v>2667</v>
      </c>
      <c r="E1180" t="s">
        <v>2668</v>
      </c>
      <c r="F1180" t="e">
        <f>--ds-btn-action4-color-disabled</f>
        <v>#NAME?</v>
      </c>
      <c r="G1180" t="s">
        <v>37</v>
      </c>
      <c r="H1180" t="s">
        <v>37</v>
      </c>
      <c r="I1180" t="s">
        <v>32</v>
      </c>
      <c r="J1180" t="s">
        <v>24</v>
      </c>
      <c r="K1180" t="s">
        <v>2508</v>
      </c>
      <c r="L1180" t="s">
        <v>2508</v>
      </c>
      <c r="M1180" t="s">
        <v>2540</v>
      </c>
      <c r="N1180" t="s">
        <v>2509</v>
      </c>
      <c r="O1180">
        <v>1</v>
      </c>
      <c r="P1180">
        <v>1</v>
      </c>
      <c r="Q1180">
        <v>0</v>
      </c>
      <c r="R1180" s="1">
        <v>46205.669444444444</v>
      </c>
      <c r="S1180" s="1">
        <v>46206.362997685188</v>
      </c>
    </row>
    <row r="1181" spans="1:19" x14ac:dyDescent="0.25">
      <c r="A1181">
        <v>2010114312</v>
      </c>
      <c r="B1181" t="s">
        <v>28</v>
      </c>
      <c r="C1181" t="s">
        <v>29</v>
      </c>
      <c r="D1181" t="s">
        <v>2669</v>
      </c>
      <c r="E1181" t="s">
        <v>2670</v>
      </c>
      <c r="F1181" t="e">
        <f>--ds-btn-action4-shadow</f>
        <v>#NAME?</v>
      </c>
      <c r="G1181" t="s">
        <v>94</v>
      </c>
      <c r="H1181" t="s">
        <v>94</v>
      </c>
      <c r="I1181" t="s">
        <v>32</v>
      </c>
      <c r="J1181" t="s">
        <v>69</v>
      </c>
      <c r="K1181" t="s">
        <v>2508</v>
      </c>
      <c r="L1181" t="s">
        <v>2508</v>
      </c>
      <c r="M1181" t="s">
        <v>70</v>
      </c>
      <c r="N1181" t="s">
        <v>2509</v>
      </c>
      <c r="O1181">
        <v>1</v>
      </c>
      <c r="P1181">
        <v>1</v>
      </c>
      <c r="Q1181">
        <v>0</v>
      </c>
      <c r="R1181" s="1">
        <v>46205.669444444444</v>
      </c>
      <c r="S1181" s="1">
        <v>46206.362997685188</v>
      </c>
    </row>
    <row r="1182" spans="1:19" x14ac:dyDescent="0.25">
      <c r="A1182">
        <v>2010114313</v>
      </c>
      <c r="B1182" t="s">
        <v>28</v>
      </c>
      <c r="C1182" t="s">
        <v>29</v>
      </c>
      <c r="D1182" t="s">
        <v>2671</v>
      </c>
      <c r="E1182" t="s">
        <v>2672</v>
      </c>
      <c r="F1182" t="e">
        <f>--ds-btn-action4-shadow-hover</f>
        <v>#NAME?</v>
      </c>
      <c r="G1182" t="s">
        <v>94</v>
      </c>
      <c r="H1182" t="s">
        <v>94</v>
      </c>
      <c r="I1182" t="s">
        <v>32</v>
      </c>
      <c r="J1182" t="s">
        <v>69</v>
      </c>
      <c r="K1182" t="s">
        <v>2508</v>
      </c>
      <c r="L1182" t="s">
        <v>2508</v>
      </c>
      <c r="M1182" t="s">
        <v>2545</v>
      </c>
      <c r="N1182" t="s">
        <v>2509</v>
      </c>
      <c r="O1182">
        <v>1</v>
      </c>
      <c r="P1182">
        <v>1</v>
      </c>
      <c r="Q1182">
        <v>0</v>
      </c>
      <c r="R1182" s="1">
        <v>46205.669444444444</v>
      </c>
      <c r="S1182" s="1">
        <v>46206.362997685188</v>
      </c>
    </row>
    <row r="1183" spans="1:19" x14ac:dyDescent="0.25">
      <c r="A1183">
        <v>2010114314</v>
      </c>
      <c r="B1183" t="s">
        <v>28</v>
      </c>
      <c r="C1183" t="s">
        <v>29</v>
      </c>
      <c r="D1183" t="s">
        <v>2673</v>
      </c>
      <c r="E1183" t="s">
        <v>2674</v>
      </c>
      <c r="F1183" t="e">
        <f>--ds-btn-action4-shadow-active</f>
        <v>#NAME?</v>
      </c>
      <c r="G1183" t="s">
        <v>94</v>
      </c>
      <c r="H1183" t="s">
        <v>94</v>
      </c>
      <c r="I1183" t="s">
        <v>32</v>
      </c>
      <c r="J1183" t="s">
        <v>69</v>
      </c>
      <c r="K1183" t="s">
        <v>2508</v>
      </c>
      <c r="L1183" t="s">
        <v>2508</v>
      </c>
      <c r="M1183" t="s">
        <v>2548</v>
      </c>
      <c r="N1183" t="s">
        <v>2509</v>
      </c>
      <c r="O1183">
        <v>1</v>
      </c>
      <c r="P1183">
        <v>1</v>
      </c>
      <c r="Q1183">
        <v>0</v>
      </c>
      <c r="R1183" s="1">
        <v>46205.669444444444</v>
      </c>
      <c r="S1183" s="1">
        <v>46206.362997685188</v>
      </c>
    </row>
    <row r="1184" spans="1:19" x14ac:dyDescent="0.25">
      <c r="A1184">
        <v>2010114315</v>
      </c>
      <c r="B1184" t="s">
        <v>28</v>
      </c>
      <c r="C1184" t="s">
        <v>29</v>
      </c>
      <c r="D1184" t="s">
        <v>2675</v>
      </c>
      <c r="E1184" t="s">
        <v>2676</v>
      </c>
      <c r="F1184" t="e">
        <f>--ds-btn-action4-radius</f>
        <v>#NAME?</v>
      </c>
      <c r="G1184" t="s">
        <v>2551</v>
      </c>
      <c r="H1184" t="s">
        <v>2551</v>
      </c>
      <c r="I1184" t="s">
        <v>32</v>
      </c>
      <c r="J1184" t="s">
        <v>69</v>
      </c>
      <c r="K1184" t="s">
        <v>2508</v>
      </c>
      <c r="L1184" t="s">
        <v>2508</v>
      </c>
      <c r="M1184" t="s">
        <v>74</v>
      </c>
      <c r="N1184" t="s">
        <v>2509</v>
      </c>
      <c r="O1184">
        <v>1</v>
      </c>
      <c r="P1184">
        <v>1</v>
      </c>
      <c r="Q1184">
        <v>0</v>
      </c>
      <c r="R1184" s="1">
        <v>46205.669444444444</v>
      </c>
      <c r="S1184" s="1">
        <v>46206.362997685188</v>
      </c>
    </row>
    <row r="1185" spans="1:19" x14ac:dyDescent="0.25">
      <c r="A1185">
        <v>2010114316</v>
      </c>
      <c r="B1185" t="s">
        <v>28</v>
      </c>
      <c r="C1185" t="s">
        <v>29</v>
      </c>
      <c r="D1185" t="s">
        <v>2677</v>
      </c>
      <c r="E1185" t="s">
        <v>2678</v>
      </c>
      <c r="F1185" t="e">
        <f>--ds-btn-action4-padding-x</f>
        <v>#NAME?</v>
      </c>
      <c r="G1185" t="s">
        <v>2554</v>
      </c>
      <c r="H1185" t="s">
        <v>2554</v>
      </c>
      <c r="I1185" t="s">
        <v>32</v>
      </c>
      <c r="J1185" t="s">
        <v>78</v>
      </c>
      <c r="K1185" t="s">
        <v>2508</v>
      </c>
      <c r="L1185" t="s">
        <v>2508</v>
      </c>
      <c r="M1185" t="s">
        <v>79</v>
      </c>
      <c r="N1185" t="s">
        <v>2509</v>
      </c>
      <c r="O1185">
        <v>1</v>
      </c>
      <c r="P1185">
        <v>1</v>
      </c>
      <c r="Q1185">
        <v>0</v>
      </c>
      <c r="R1185" s="1">
        <v>46205.669444444444</v>
      </c>
      <c r="S1185" s="1">
        <v>46206.362997685188</v>
      </c>
    </row>
    <row r="1186" spans="1:19" x14ac:dyDescent="0.25">
      <c r="A1186">
        <v>2010114317</v>
      </c>
      <c r="B1186" t="s">
        <v>28</v>
      </c>
      <c r="C1186" t="s">
        <v>29</v>
      </c>
      <c r="D1186" t="s">
        <v>2679</v>
      </c>
      <c r="E1186" t="s">
        <v>2680</v>
      </c>
      <c r="F1186" t="e">
        <f>--ds-btn-action4-padding-y</f>
        <v>#NAME?</v>
      </c>
      <c r="G1186" t="s">
        <v>847</v>
      </c>
      <c r="H1186" t="s">
        <v>847</v>
      </c>
      <c r="I1186" t="s">
        <v>32</v>
      </c>
      <c r="J1186" t="s">
        <v>78</v>
      </c>
      <c r="K1186" t="s">
        <v>2508</v>
      </c>
      <c r="L1186" t="s">
        <v>2508</v>
      </c>
      <c r="M1186" t="s">
        <v>83</v>
      </c>
      <c r="N1186" t="s">
        <v>2509</v>
      </c>
      <c r="O1186">
        <v>1</v>
      </c>
      <c r="P1186">
        <v>1</v>
      </c>
      <c r="Q1186">
        <v>0</v>
      </c>
      <c r="R1186" s="1">
        <v>46205.669444444444</v>
      </c>
      <c r="S1186" s="1">
        <v>46206.362997685188</v>
      </c>
    </row>
    <row r="1187" spans="1:19" x14ac:dyDescent="0.25">
      <c r="A1187">
        <v>2010114318</v>
      </c>
      <c r="B1187" t="s">
        <v>28</v>
      </c>
      <c r="C1187" t="s">
        <v>29</v>
      </c>
      <c r="D1187" t="s">
        <v>2681</v>
      </c>
      <c r="E1187" t="s">
        <v>2682</v>
      </c>
      <c r="F1187" t="e">
        <f>--ds-btn-action4-font-size</f>
        <v>#NAME?</v>
      </c>
      <c r="G1187" t="s">
        <v>843</v>
      </c>
      <c r="H1187" t="s">
        <v>843</v>
      </c>
      <c r="I1187" t="s">
        <v>32</v>
      </c>
      <c r="J1187" t="s">
        <v>2560</v>
      </c>
      <c r="K1187" t="s">
        <v>2508</v>
      </c>
      <c r="L1187" t="s">
        <v>2508</v>
      </c>
      <c r="M1187" t="s">
        <v>2561</v>
      </c>
      <c r="N1187" t="s">
        <v>2509</v>
      </c>
      <c r="O1187">
        <v>1</v>
      </c>
      <c r="P1187">
        <v>1</v>
      </c>
      <c r="Q1187">
        <v>0</v>
      </c>
      <c r="R1187" s="1">
        <v>46205.669444444444</v>
      </c>
      <c r="S1187" s="1">
        <v>46206.362997685188</v>
      </c>
    </row>
    <row r="1188" spans="1:19" x14ac:dyDescent="0.25">
      <c r="A1188">
        <v>2010114319</v>
      </c>
      <c r="B1188" t="s">
        <v>28</v>
      </c>
      <c r="C1188" t="s">
        <v>29</v>
      </c>
      <c r="D1188" t="s">
        <v>2683</v>
      </c>
      <c r="E1188" t="s">
        <v>2684</v>
      </c>
      <c r="F1188" t="e">
        <f>--ds-btn-action4-font-weight</f>
        <v>#NAME?</v>
      </c>
      <c r="G1188">
        <v>500</v>
      </c>
      <c r="H1188">
        <v>500</v>
      </c>
      <c r="I1188" t="s">
        <v>32</v>
      </c>
      <c r="J1188" t="s">
        <v>2560</v>
      </c>
      <c r="K1188" t="s">
        <v>2508</v>
      </c>
      <c r="L1188" t="s">
        <v>2508</v>
      </c>
      <c r="M1188" t="s">
        <v>2564</v>
      </c>
      <c r="N1188" t="s">
        <v>2509</v>
      </c>
      <c r="O1188">
        <v>1</v>
      </c>
      <c r="P1188">
        <v>1</v>
      </c>
      <c r="Q1188">
        <v>0</v>
      </c>
      <c r="R1188" s="1">
        <v>46205.669444444444</v>
      </c>
      <c r="S1188" s="1">
        <v>46206.362997685188</v>
      </c>
    </row>
    <row r="1189" spans="1:19" x14ac:dyDescent="0.25">
      <c r="A1189">
        <v>2100112000</v>
      </c>
      <c r="B1189" t="s">
        <v>28</v>
      </c>
      <c r="C1189" t="s">
        <v>29</v>
      </c>
      <c r="D1189" t="s">
        <v>2685</v>
      </c>
      <c r="E1189" t="s">
        <v>2686</v>
      </c>
      <c r="F1189" t="e">
        <f>--ds-btn-size-small-font-size</f>
        <v>#NAME?</v>
      </c>
      <c r="G1189" t="s">
        <v>2687</v>
      </c>
      <c r="H1189" t="s">
        <v>2687</v>
      </c>
      <c r="I1189" t="s">
        <v>32</v>
      </c>
      <c r="J1189" t="s">
        <v>2560</v>
      </c>
      <c r="K1189" t="s">
        <v>844</v>
      </c>
      <c r="L1189" t="s">
        <v>2688</v>
      </c>
      <c r="M1189" t="s">
        <v>2561</v>
      </c>
      <c r="N1189" t="s">
        <v>2689</v>
      </c>
      <c r="O1189">
        <v>1</v>
      </c>
      <c r="P1189">
        <v>1</v>
      </c>
      <c r="Q1189">
        <v>0</v>
      </c>
      <c r="R1189" s="1">
        <v>46195.688067129631</v>
      </c>
      <c r="S1189" s="1">
        <v>46206.364479166667</v>
      </c>
    </row>
    <row r="1190" spans="1:19" x14ac:dyDescent="0.25">
      <c r="A1190">
        <v>2100112001</v>
      </c>
      <c r="B1190" t="s">
        <v>28</v>
      </c>
      <c r="C1190" t="s">
        <v>29</v>
      </c>
      <c r="D1190" t="s">
        <v>2690</v>
      </c>
      <c r="E1190" t="s">
        <v>2691</v>
      </c>
      <c r="F1190" t="e">
        <f>--ds-btn-size-small-line-height</f>
        <v>#NAME?</v>
      </c>
      <c r="G1190">
        <v>1.2</v>
      </c>
      <c r="H1190">
        <v>1.2</v>
      </c>
      <c r="I1190" t="s">
        <v>32</v>
      </c>
      <c r="J1190" t="s">
        <v>2560</v>
      </c>
      <c r="K1190" t="s">
        <v>844</v>
      </c>
      <c r="L1190" t="s">
        <v>2688</v>
      </c>
      <c r="M1190" t="s">
        <v>109</v>
      </c>
      <c r="N1190" t="s">
        <v>2689</v>
      </c>
      <c r="O1190">
        <v>1</v>
      </c>
      <c r="P1190">
        <v>1</v>
      </c>
      <c r="Q1190">
        <v>0</v>
      </c>
      <c r="R1190" s="1">
        <v>46195.688067129631</v>
      </c>
      <c r="S1190" s="1">
        <v>46206.364479166667</v>
      </c>
    </row>
    <row r="1191" spans="1:19" x14ac:dyDescent="0.25">
      <c r="A1191">
        <v>2100112002</v>
      </c>
      <c r="B1191" t="s">
        <v>28</v>
      </c>
      <c r="C1191" t="s">
        <v>29</v>
      </c>
      <c r="D1191" t="s">
        <v>2692</v>
      </c>
      <c r="E1191" t="s">
        <v>2693</v>
      </c>
      <c r="F1191" t="e">
        <f>--ds-btn-size-small-padding-x</f>
        <v>#NAME?</v>
      </c>
      <c r="G1191" t="s">
        <v>82</v>
      </c>
      <c r="H1191" t="s">
        <v>82</v>
      </c>
      <c r="I1191" t="s">
        <v>32</v>
      </c>
      <c r="J1191" t="s">
        <v>78</v>
      </c>
      <c r="K1191" t="s">
        <v>844</v>
      </c>
      <c r="L1191" t="s">
        <v>2688</v>
      </c>
      <c r="M1191" t="s">
        <v>79</v>
      </c>
      <c r="N1191" t="s">
        <v>2689</v>
      </c>
      <c r="O1191">
        <v>1</v>
      </c>
      <c r="P1191">
        <v>1</v>
      </c>
      <c r="Q1191">
        <v>0</v>
      </c>
      <c r="R1191" s="1">
        <v>46195.688067129631</v>
      </c>
      <c r="S1191" s="1">
        <v>46206.364479166667</v>
      </c>
    </row>
    <row r="1192" spans="1:19" x14ac:dyDescent="0.25">
      <c r="A1192">
        <v>2100112003</v>
      </c>
      <c r="B1192" t="s">
        <v>28</v>
      </c>
      <c r="C1192" t="s">
        <v>29</v>
      </c>
      <c r="D1192" t="s">
        <v>2694</v>
      </c>
      <c r="E1192" t="s">
        <v>2695</v>
      </c>
      <c r="F1192" t="e">
        <f>--ds-btn-size-small-padding-y</f>
        <v>#NAME?</v>
      </c>
      <c r="G1192" t="s">
        <v>73</v>
      </c>
      <c r="H1192" t="s">
        <v>73</v>
      </c>
      <c r="I1192" t="s">
        <v>32</v>
      </c>
      <c r="J1192" t="s">
        <v>78</v>
      </c>
      <c r="K1192" t="s">
        <v>844</v>
      </c>
      <c r="L1192" t="s">
        <v>2688</v>
      </c>
      <c r="M1192" t="s">
        <v>83</v>
      </c>
      <c r="N1192" t="s">
        <v>2689</v>
      </c>
      <c r="O1192">
        <v>1</v>
      </c>
      <c r="P1192">
        <v>1</v>
      </c>
      <c r="Q1192">
        <v>0</v>
      </c>
      <c r="R1192" s="1">
        <v>46195.688067129631</v>
      </c>
      <c r="S1192" s="1">
        <v>46206.364479166667</v>
      </c>
    </row>
    <row r="1193" spans="1:19" x14ac:dyDescent="0.25">
      <c r="A1193">
        <v>2100112004</v>
      </c>
      <c r="B1193" t="s">
        <v>28</v>
      </c>
      <c r="C1193" t="s">
        <v>29</v>
      </c>
      <c r="D1193" t="s">
        <v>2696</v>
      </c>
      <c r="E1193" t="s">
        <v>2697</v>
      </c>
      <c r="F1193" t="e">
        <f>--ds-btn-size-small-border-radius</f>
        <v>#NAME?</v>
      </c>
      <c r="G1193" t="s">
        <v>73</v>
      </c>
      <c r="H1193" t="s">
        <v>73</v>
      </c>
      <c r="I1193" t="s">
        <v>32</v>
      </c>
      <c r="J1193" t="s">
        <v>69</v>
      </c>
      <c r="K1193" t="s">
        <v>844</v>
      </c>
      <c r="L1193" t="s">
        <v>2688</v>
      </c>
      <c r="M1193" t="s">
        <v>2698</v>
      </c>
      <c r="N1193" t="s">
        <v>2689</v>
      </c>
      <c r="O1193">
        <v>1</v>
      </c>
      <c r="P1193">
        <v>1</v>
      </c>
      <c r="Q1193">
        <v>0</v>
      </c>
      <c r="R1193" s="1">
        <v>46195.688067129631</v>
      </c>
      <c r="S1193" s="1">
        <v>46206.364479166667</v>
      </c>
    </row>
    <row r="1194" spans="1:19" x14ac:dyDescent="0.25">
      <c r="A1194">
        <v>2100112005</v>
      </c>
      <c r="B1194" t="s">
        <v>28</v>
      </c>
      <c r="C1194" t="s">
        <v>29</v>
      </c>
      <c r="D1194" t="s">
        <v>2699</v>
      </c>
      <c r="E1194" t="s">
        <v>2700</v>
      </c>
      <c r="F1194" t="e">
        <f>--ds-btn-size-small-gap</f>
        <v>#NAME?</v>
      </c>
      <c r="G1194" t="s">
        <v>73</v>
      </c>
      <c r="H1194" t="s">
        <v>73</v>
      </c>
      <c r="I1194" t="s">
        <v>32</v>
      </c>
      <c r="J1194" t="s">
        <v>78</v>
      </c>
      <c r="K1194" t="s">
        <v>844</v>
      </c>
      <c r="L1194" t="s">
        <v>2688</v>
      </c>
      <c r="M1194" t="s">
        <v>87</v>
      </c>
      <c r="N1194" t="s">
        <v>2689</v>
      </c>
      <c r="O1194">
        <v>1</v>
      </c>
      <c r="P1194">
        <v>1</v>
      </c>
      <c r="Q1194">
        <v>0</v>
      </c>
      <c r="R1194" s="1">
        <v>46195.688067129631</v>
      </c>
      <c r="S1194" s="1">
        <v>46206.364479166667</v>
      </c>
    </row>
    <row r="1195" spans="1:19" x14ac:dyDescent="0.25">
      <c r="A1195">
        <v>2100112006</v>
      </c>
      <c r="B1195" t="s">
        <v>28</v>
      </c>
      <c r="C1195" t="s">
        <v>29</v>
      </c>
      <c r="D1195" t="s">
        <v>2701</v>
      </c>
      <c r="E1195" t="s">
        <v>2702</v>
      </c>
      <c r="F1195" t="e">
        <f>--ds-btn-size-small-icon-size</f>
        <v>#NAME?</v>
      </c>
      <c r="G1195" t="s">
        <v>2703</v>
      </c>
      <c r="H1195" t="s">
        <v>2703</v>
      </c>
      <c r="I1195" t="s">
        <v>32</v>
      </c>
      <c r="J1195" t="s">
        <v>78</v>
      </c>
      <c r="K1195" t="s">
        <v>844</v>
      </c>
      <c r="L1195" t="s">
        <v>2688</v>
      </c>
      <c r="M1195" t="s">
        <v>106</v>
      </c>
      <c r="N1195" t="s">
        <v>2689</v>
      </c>
      <c r="O1195">
        <v>1</v>
      </c>
      <c r="P1195">
        <v>1</v>
      </c>
      <c r="Q1195">
        <v>0</v>
      </c>
      <c r="R1195" s="1">
        <v>46195.688067129631</v>
      </c>
      <c r="S1195" s="1">
        <v>46206.364479166667</v>
      </c>
    </row>
    <row r="1196" spans="1:19" x14ac:dyDescent="0.25">
      <c r="A1196">
        <v>2100112007</v>
      </c>
      <c r="B1196" t="s">
        <v>28</v>
      </c>
      <c r="C1196" t="s">
        <v>29</v>
      </c>
      <c r="D1196" t="s">
        <v>2704</v>
      </c>
      <c r="E1196" t="s">
        <v>2705</v>
      </c>
      <c r="F1196" t="e">
        <f>--ds-btn-size-small-spinner-size</f>
        <v>#NAME?</v>
      </c>
      <c r="G1196" t="s">
        <v>2703</v>
      </c>
      <c r="H1196" t="s">
        <v>2703</v>
      </c>
      <c r="I1196" t="s">
        <v>32</v>
      </c>
      <c r="J1196" t="s">
        <v>78</v>
      </c>
      <c r="K1196" t="s">
        <v>844</v>
      </c>
      <c r="L1196" t="s">
        <v>2688</v>
      </c>
      <c r="M1196" t="s">
        <v>1860</v>
      </c>
      <c r="N1196" t="s">
        <v>2689</v>
      </c>
      <c r="O1196">
        <v>1</v>
      </c>
      <c r="P1196">
        <v>1</v>
      </c>
      <c r="Q1196">
        <v>0</v>
      </c>
      <c r="R1196" s="1">
        <v>46195.688067129631</v>
      </c>
      <c r="S1196" s="1">
        <v>46206.364479166667</v>
      </c>
    </row>
    <row r="1197" spans="1:19" x14ac:dyDescent="0.25">
      <c r="A1197">
        <v>2100112008</v>
      </c>
      <c r="B1197" t="s">
        <v>28</v>
      </c>
      <c r="C1197" t="s">
        <v>29</v>
      </c>
      <c r="D1197" t="s">
        <v>2706</v>
      </c>
      <c r="E1197" t="s">
        <v>2707</v>
      </c>
      <c r="F1197" t="e">
        <f>--ds-btn-size-small-min-width</f>
        <v>#NAME?</v>
      </c>
      <c r="G1197" t="s">
        <v>2708</v>
      </c>
      <c r="H1197" t="s">
        <v>2708</v>
      </c>
      <c r="I1197" t="s">
        <v>32</v>
      </c>
      <c r="J1197" t="s">
        <v>78</v>
      </c>
      <c r="K1197" t="s">
        <v>844</v>
      </c>
      <c r="L1197" t="s">
        <v>2688</v>
      </c>
      <c r="M1197" t="s">
        <v>2709</v>
      </c>
      <c r="N1197" t="s">
        <v>2689</v>
      </c>
      <c r="O1197">
        <v>1</v>
      </c>
      <c r="P1197">
        <v>1</v>
      </c>
      <c r="Q1197">
        <v>0</v>
      </c>
      <c r="R1197" s="1">
        <v>46195.688067129631</v>
      </c>
      <c r="S1197" s="1">
        <v>46206.364479166667</v>
      </c>
    </row>
    <row r="1198" spans="1:19" x14ac:dyDescent="0.25">
      <c r="A1198">
        <v>2100112009</v>
      </c>
      <c r="B1198" t="s">
        <v>28</v>
      </c>
      <c r="C1198" t="s">
        <v>29</v>
      </c>
      <c r="D1198" t="s">
        <v>2710</v>
      </c>
      <c r="E1198" t="s">
        <v>2711</v>
      </c>
      <c r="F1198" t="e">
        <f>--ds-btn-size-small-height</f>
        <v>#NAME?</v>
      </c>
      <c r="G1198" t="s">
        <v>2708</v>
      </c>
      <c r="H1198" t="s">
        <v>2708</v>
      </c>
      <c r="I1198" t="s">
        <v>32</v>
      </c>
      <c r="J1198" t="s">
        <v>78</v>
      </c>
      <c r="K1198" t="s">
        <v>844</v>
      </c>
      <c r="L1198" t="s">
        <v>2688</v>
      </c>
      <c r="M1198" t="s">
        <v>2712</v>
      </c>
      <c r="N1198" t="s">
        <v>2689</v>
      </c>
      <c r="O1198">
        <v>1</v>
      </c>
      <c r="P1198">
        <v>1</v>
      </c>
      <c r="Q1198">
        <v>0</v>
      </c>
      <c r="R1198" s="1">
        <v>46195.688067129631</v>
      </c>
      <c r="S1198" s="1">
        <v>46206.364479166667</v>
      </c>
    </row>
    <row r="1199" spans="1:19" x14ac:dyDescent="0.25">
      <c r="A1199">
        <v>2100112010</v>
      </c>
      <c r="B1199" t="s">
        <v>28</v>
      </c>
      <c r="C1199" t="s">
        <v>29</v>
      </c>
      <c r="D1199" t="s">
        <v>2713</v>
      </c>
      <c r="E1199" t="s">
        <v>2714</v>
      </c>
      <c r="F1199" t="e">
        <f>--ds-btn-size-small-font-weight</f>
        <v>#NAME?</v>
      </c>
      <c r="G1199">
        <v>500</v>
      </c>
      <c r="H1199">
        <v>500</v>
      </c>
      <c r="I1199" t="s">
        <v>32</v>
      </c>
      <c r="J1199" t="s">
        <v>2560</v>
      </c>
      <c r="K1199" t="s">
        <v>844</v>
      </c>
      <c r="L1199" t="s">
        <v>2688</v>
      </c>
      <c r="M1199" t="s">
        <v>2564</v>
      </c>
      <c r="N1199" t="s">
        <v>2689</v>
      </c>
      <c r="O1199">
        <v>1</v>
      </c>
      <c r="P1199">
        <v>0</v>
      </c>
      <c r="Q1199">
        <v>0</v>
      </c>
      <c r="R1199" s="1">
        <v>46195.688067129631</v>
      </c>
      <c r="S1199" s="1">
        <v>46206.364479166667</v>
      </c>
    </row>
    <row r="1200" spans="1:19" x14ac:dyDescent="0.25">
      <c r="A1200">
        <v>2100112011</v>
      </c>
      <c r="B1200" t="s">
        <v>28</v>
      </c>
      <c r="C1200" t="s">
        <v>29</v>
      </c>
      <c r="D1200" t="s">
        <v>2715</v>
      </c>
      <c r="E1200" t="s">
        <v>2716</v>
      </c>
      <c r="F1200" t="e">
        <f>--ds-btn-size-small-letter-spacing</f>
        <v>#NAME?</v>
      </c>
      <c r="G1200">
        <v>0</v>
      </c>
      <c r="H1200">
        <v>0</v>
      </c>
      <c r="I1200" t="s">
        <v>32</v>
      </c>
      <c r="J1200" t="s">
        <v>2560</v>
      </c>
      <c r="K1200" t="s">
        <v>844</v>
      </c>
      <c r="L1200" t="s">
        <v>2688</v>
      </c>
      <c r="M1200" t="s">
        <v>2717</v>
      </c>
      <c r="N1200" t="s">
        <v>2689</v>
      </c>
      <c r="O1200">
        <v>1</v>
      </c>
      <c r="P1200">
        <v>0</v>
      </c>
      <c r="Q1200">
        <v>0</v>
      </c>
      <c r="R1200" s="1">
        <v>46195.688067129631</v>
      </c>
      <c r="S1200" s="1">
        <v>46206.364479166667</v>
      </c>
    </row>
    <row r="1201" spans="1:19" x14ac:dyDescent="0.25">
      <c r="A1201">
        <v>2100112012</v>
      </c>
      <c r="B1201" t="s">
        <v>28</v>
      </c>
      <c r="C1201" t="s">
        <v>29</v>
      </c>
      <c r="D1201" t="s">
        <v>2718</v>
      </c>
      <c r="E1201" t="s">
        <v>2719</v>
      </c>
      <c r="F1201" t="e">
        <f>--ds-btn-size-small-text-transform</f>
        <v>#NAME?</v>
      </c>
      <c r="G1201" t="s">
        <v>94</v>
      </c>
      <c r="H1201" t="s">
        <v>94</v>
      </c>
      <c r="I1201" t="s">
        <v>32</v>
      </c>
      <c r="J1201" t="s">
        <v>2560</v>
      </c>
      <c r="K1201" t="s">
        <v>844</v>
      </c>
      <c r="L1201" t="s">
        <v>2688</v>
      </c>
      <c r="M1201" t="s">
        <v>2720</v>
      </c>
      <c r="N1201" t="s">
        <v>2689</v>
      </c>
      <c r="O1201">
        <v>1</v>
      </c>
      <c r="P1201">
        <v>0</v>
      </c>
      <c r="Q1201">
        <v>0</v>
      </c>
      <c r="R1201" s="1">
        <v>46195.688067129631</v>
      </c>
      <c r="S1201" s="1">
        <v>46206.364479166667</v>
      </c>
    </row>
    <row r="1202" spans="1:19" x14ac:dyDescent="0.25">
      <c r="A1202">
        <v>2100112013</v>
      </c>
      <c r="B1202" t="s">
        <v>28</v>
      </c>
      <c r="C1202" t="s">
        <v>29</v>
      </c>
      <c r="D1202" t="s">
        <v>2721</v>
      </c>
      <c r="E1202" t="s">
        <v>2722</v>
      </c>
      <c r="F1202" t="e">
        <f>--ds-btn-size-small-outline</f>
        <v>#NAME?</v>
      </c>
      <c r="G1202" t="s">
        <v>94</v>
      </c>
      <c r="H1202" t="s">
        <v>94</v>
      </c>
      <c r="I1202" t="s">
        <v>32</v>
      </c>
      <c r="J1202" t="s">
        <v>69</v>
      </c>
      <c r="K1202" t="s">
        <v>844</v>
      </c>
      <c r="L1202" t="s">
        <v>2688</v>
      </c>
      <c r="M1202" t="s">
        <v>95</v>
      </c>
      <c r="N1202" t="s">
        <v>2689</v>
      </c>
      <c r="O1202">
        <v>1</v>
      </c>
      <c r="P1202">
        <v>0</v>
      </c>
      <c r="Q1202">
        <v>0</v>
      </c>
      <c r="R1202" s="1">
        <v>46195.688067129631</v>
      </c>
      <c r="S1202" s="1">
        <v>46206.364479166667</v>
      </c>
    </row>
    <row r="1203" spans="1:19" x14ac:dyDescent="0.25">
      <c r="A1203">
        <v>2100112014</v>
      </c>
      <c r="B1203" t="s">
        <v>28</v>
      </c>
      <c r="C1203" t="s">
        <v>29</v>
      </c>
      <c r="D1203" t="s">
        <v>2723</v>
      </c>
      <c r="E1203" t="s">
        <v>2724</v>
      </c>
      <c r="F1203" t="e">
        <f>--ds-btn-size-small-transition</f>
        <v>#NAME?</v>
      </c>
      <c r="G1203" t="s">
        <v>98</v>
      </c>
      <c r="H1203" t="s">
        <v>98</v>
      </c>
      <c r="I1203" t="s">
        <v>32</v>
      </c>
      <c r="J1203" t="s">
        <v>69</v>
      </c>
      <c r="K1203" t="s">
        <v>844</v>
      </c>
      <c r="L1203" t="s">
        <v>2688</v>
      </c>
      <c r="M1203" t="s">
        <v>99</v>
      </c>
      <c r="N1203" t="s">
        <v>2689</v>
      </c>
      <c r="O1203">
        <v>1</v>
      </c>
      <c r="P1203">
        <v>0</v>
      </c>
      <c r="Q1203">
        <v>0</v>
      </c>
      <c r="R1203" s="1">
        <v>46195.688067129631</v>
      </c>
      <c r="S1203" s="1">
        <v>46206.364479166667</v>
      </c>
    </row>
    <row r="1204" spans="1:19" x14ac:dyDescent="0.25">
      <c r="A1204">
        <v>2100112015</v>
      </c>
      <c r="B1204" t="s">
        <v>28</v>
      </c>
      <c r="C1204" t="s">
        <v>29</v>
      </c>
      <c r="D1204" t="s">
        <v>2725</v>
      </c>
      <c r="E1204" t="s">
        <v>2726</v>
      </c>
      <c r="F1204" t="e">
        <f>--ds-btn-size-small-focus-ring</f>
        <v>#NAME?</v>
      </c>
      <c r="G1204" t="s">
        <v>2727</v>
      </c>
      <c r="H1204" t="s">
        <v>2727</v>
      </c>
      <c r="I1204" t="s">
        <v>32</v>
      </c>
      <c r="J1204" t="s">
        <v>69</v>
      </c>
      <c r="K1204" t="s">
        <v>844</v>
      </c>
      <c r="L1204" t="s">
        <v>2688</v>
      </c>
      <c r="M1204" t="s">
        <v>91</v>
      </c>
      <c r="N1204" t="s">
        <v>2689</v>
      </c>
      <c r="O1204">
        <v>1</v>
      </c>
      <c r="P1204">
        <v>0</v>
      </c>
      <c r="Q1204">
        <v>0</v>
      </c>
      <c r="R1204" s="1">
        <v>46195.688067129631</v>
      </c>
      <c r="S1204" s="1">
        <v>46206.364479166667</v>
      </c>
    </row>
    <row r="1205" spans="1:19" x14ac:dyDescent="0.25">
      <c r="A1205">
        <v>2100112016</v>
      </c>
      <c r="B1205" t="s">
        <v>28</v>
      </c>
      <c r="C1205" t="s">
        <v>29</v>
      </c>
      <c r="D1205" t="s">
        <v>2728</v>
      </c>
      <c r="E1205" t="s">
        <v>2729</v>
      </c>
      <c r="F1205" t="e">
        <f>--ds-btn-size-small-corner-radius-top-left</f>
        <v>#NAME?</v>
      </c>
      <c r="G1205" t="s">
        <v>73</v>
      </c>
      <c r="H1205" t="s">
        <v>73</v>
      </c>
      <c r="I1205" t="s">
        <v>32</v>
      </c>
      <c r="J1205" t="s">
        <v>69</v>
      </c>
      <c r="K1205" t="s">
        <v>844</v>
      </c>
      <c r="L1205" t="s">
        <v>2688</v>
      </c>
      <c r="M1205" t="s">
        <v>2730</v>
      </c>
      <c r="N1205" t="s">
        <v>2689</v>
      </c>
      <c r="O1205">
        <v>1</v>
      </c>
      <c r="P1205">
        <v>0</v>
      </c>
      <c r="Q1205">
        <v>0</v>
      </c>
      <c r="R1205" s="1">
        <v>46195.688067129631</v>
      </c>
      <c r="S1205" s="1">
        <v>46206.364479166667</v>
      </c>
    </row>
    <row r="1206" spans="1:19" x14ac:dyDescent="0.25">
      <c r="A1206">
        <v>2100112017</v>
      </c>
      <c r="B1206" t="s">
        <v>28</v>
      </c>
      <c r="C1206" t="s">
        <v>29</v>
      </c>
      <c r="D1206" t="s">
        <v>2731</v>
      </c>
      <c r="E1206" t="s">
        <v>2732</v>
      </c>
      <c r="F1206" t="e">
        <f>--ds-btn-size-small-corner-radius-top-right</f>
        <v>#NAME?</v>
      </c>
      <c r="G1206" t="s">
        <v>73</v>
      </c>
      <c r="H1206" t="s">
        <v>73</v>
      </c>
      <c r="I1206" t="s">
        <v>32</v>
      </c>
      <c r="J1206" t="s">
        <v>69</v>
      </c>
      <c r="K1206" t="s">
        <v>844</v>
      </c>
      <c r="L1206" t="s">
        <v>2688</v>
      </c>
      <c r="M1206" t="s">
        <v>2733</v>
      </c>
      <c r="N1206" t="s">
        <v>2689</v>
      </c>
      <c r="O1206">
        <v>1</v>
      </c>
      <c r="P1206">
        <v>0</v>
      </c>
      <c r="Q1206">
        <v>0</v>
      </c>
      <c r="R1206" s="1">
        <v>46195.688067129631</v>
      </c>
      <c r="S1206" s="1">
        <v>46206.364479166667</v>
      </c>
    </row>
    <row r="1207" spans="1:19" x14ac:dyDescent="0.25">
      <c r="A1207">
        <v>2100112018</v>
      </c>
      <c r="B1207" t="s">
        <v>28</v>
      </c>
      <c r="C1207" t="s">
        <v>29</v>
      </c>
      <c r="D1207" t="s">
        <v>2734</v>
      </c>
      <c r="E1207" t="s">
        <v>2735</v>
      </c>
      <c r="F1207" t="e">
        <f>--ds-btn-size-small-corner-radius-bottom-left</f>
        <v>#NAME?</v>
      </c>
      <c r="G1207" t="s">
        <v>73</v>
      </c>
      <c r="H1207" t="s">
        <v>73</v>
      </c>
      <c r="I1207" t="s">
        <v>32</v>
      </c>
      <c r="J1207" t="s">
        <v>69</v>
      </c>
      <c r="K1207" t="s">
        <v>844</v>
      </c>
      <c r="L1207" t="s">
        <v>2688</v>
      </c>
      <c r="M1207" t="s">
        <v>2736</v>
      </c>
      <c r="N1207" t="s">
        <v>2689</v>
      </c>
      <c r="O1207">
        <v>1</v>
      </c>
      <c r="P1207">
        <v>0</v>
      </c>
      <c r="Q1207">
        <v>0</v>
      </c>
      <c r="R1207" s="1">
        <v>46195.688067129631</v>
      </c>
      <c r="S1207" s="1">
        <v>46206.364479166667</v>
      </c>
    </row>
    <row r="1208" spans="1:19" x14ac:dyDescent="0.25">
      <c r="A1208">
        <v>2100112019</v>
      </c>
      <c r="B1208" t="s">
        <v>28</v>
      </c>
      <c r="C1208" t="s">
        <v>29</v>
      </c>
      <c r="D1208" t="s">
        <v>2737</v>
      </c>
      <c r="E1208" t="s">
        <v>2738</v>
      </c>
      <c r="F1208" t="e">
        <f>--ds-btn-size-small-corner-radius-bottom-right</f>
        <v>#NAME?</v>
      </c>
      <c r="G1208" t="s">
        <v>73</v>
      </c>
      <c r="H1208" t="s">
        <v>73</v>
      </c>
      <c r="I1208" t="s">
        <v>32</v>
      </c>
      <c r="J1208" t="s">
        <v>69</v>
      </c>
      <c r="K1208" t="s">
        <v>844</v>
      </c>
      <c r="L1208" t="s">
        <v>2688</v>
      </c>
      <c r="M1208" t="s">
        <v>2739</v>
      </c>
      <c r="N1208" t="s">
        <v>2689</v>
      </c>
      <c r="O1208">
        <v>1</v>
      </c>
      <c r="P1208">
        <v>0</v>
      </c>
      <c r="Q1208">
        <v>0</v>
      </c>
      <c r="R1208" s="1">
        <v>46195.688067129631</v>
      </c>
      <c r="S1208" s="1">
        <v>46206.364479166667</v>
      </c>
    </row>
    <row r="1209" spans="1:19" x14ac:dyDescent="0.25">
      <c r="A1209">
        <v>2100112100</v>
      </c>
      <c r="B1209" t="s">
        <v>28</v>
      </c>
      <c r="C1209" t="s">
        <v>29</v>
      </c>
      <c r="D1209" t="s">
        <v>2740</v>
      </c>
      <c r="E1209" t="s">
        <v>2741</v>
      </c>
      <c r="F1209" t="e">
        <f>--ds-btn-size-medium-font-size</f>
        <v>#NAME?</v>
      </c>
      <c r="G1209" t="s">
        <v>843</v>
      </c>
      <c r="H1209" t="s">
        <v>843</v>
      </c>
      <c r="I1209" t="s">
        <v>32</v>
      </c>
      <c r="J1209" t="s">
        <v>2560</v>
      </c>
      <c r="K1209" t="s">
        <v>844</v>
      </c>
      <c r="L1209" t="s">
        <v>2742</v>
      </c>
      <c r="M1209" t="s">
        <v>2561</v>
      </c>
      <c r="N1209" t="s">
        <v>2743</v>
      </c>
      <c r="O1209">
        <v>1</v>
      </c>
      <c r="P1209">
        <v>1</v>
      </c>
      <c r="Q1209">
        <v>0</v>
      </c>
      <c r="R1209" s="1">
        <v>46195.688807870371</v>
      </c>
      <c r="S1209" s="1">
        <v>46206.364479166667</v>
      </c>
    </row>
    <row r="1210" spans="1:19" x14ac:dyDescent="0.25">
      <c r="A1210">
        <v>2100112101</v>
      </c>
      <c r="B1210" t="s">
        <v>28</v>
      </c>
      <c r="C1210" t="s">
        <v>29</v>
      </c>
      <c r="D1210" t="s">
        <v>2744</v>
      </c>
      <c r="E1210" t="s">
        <v>2745</v>
      </c>
      <c r="F1210" t="e">
        <f>--ds-btn-size-medium-line-height</f>
        <v>#NAME?</v>
      </c>
      <c r="G1210">
        <v>1.25</v>
      </c>
      <c r="H1210">
        <v>1.25</v>
      </c>
      <c r="I1210" t="s">
        <v>32</v>
      </c>
      <c r="J1210" t="s">
        <v>2560</v>
      </c>
      <c r="K1210" t="s">
        <v>844</v>
      </c>
      <c r="L1210" t="s">
        <v>2742</v>
      </c>
      <c r="M1210" t="s">
        <v>109</v>
      </c>
      <c r="N1210" t="s">
        <v>2743</v>
      </c>
      <c r="O1210">
        <v>1</v>
      </c>
      <c r="P1210">
        <v>1</v>
      </c>
      <c r="Q1210">
        <v>0</v>
      </c>
      <c r="R1210" s="1">
        <v>46195.688807870371</v>
      </c>
      <c r="S1210" s="1">
        <v>46206.364479166667</v>
      </c>
    </row>
    <row r="1211" spans="1:19" x14ac:dyDescent="0.25">
      <c r="A1211">
        <v>2100112102</v>
      </c>
      <c r="B1211" t="s">
        <v>28</v>
      </c>
      <c r="C1211" t="s">
        <v>29</v>
      </c>
      <c r="D1211" t="s">
        <v>2746</v>
      </c>
      <c r="E1211" t="s">
        <v>2747</v>
      </c>
      <c r="F1211" t="e">
        <f>--ds-btn-size-medium-padding-x</f>
        <v>#NAME?</v>
      </c>
      <c r="G1211" t="s">
        <v>77</v>
      </c>
      <c r="H1211" t="s">
        <v>77</v>
      </c>
      <c r="I1211" t="s">
        <v>32</v>
      </c>
      <c r="J1211" t="s">
        <v>78</v>
      </c>
      <c r="K1211" t="s">
        <v>844</v>
      </c>
      <c r="L1211" t="s">
        <v>2742</v>
      </c>
      <c r="M1211" t="s">
        <v>79</v>
      </c>
      <c r="N1211" t="s">
        <v>2743</v>
      </c>
      <c r="O1211">
        <v>1</v>
      </c>
      <c r="P1211">
        <v>1</v>
      </c>
      <c r="Q1211">
        <v>0</v>
      </c>
      <c r="R1211" s="1">
        <v>46195.688807870371</v>
      </c>
      <c r="S1211" s="1">
        <v>46206.364479166667</v>
      </c>
    </row>
    <row r="1212" spans="1:19" x14ac:dyDescent="0.25">
      <c r="A1212">
        <v>2100112103</v>
      </c>
      <c r="B1212" t="s">
        <v>28</v>
      </c>
      <c r="C1212" t="s">
        <v>29</v>
      </c>
      <c r="D1212" t="s">
        <v>2748</v>
      </c>
      <c r="E1212" t="s">
        <v>2749</v>
      </c>
      <c r="F1212" t="e">
        <f>--ds-btn-size-medium-padding-y</f>
        <v>#NAME?</v>
      </c>
      <c r="G1212" t="s">
        <v>82</v>
      </c>
      <c r="H1212" t="s">
        <v>82</v>
      </c>
      <c r="I1212" t="s">
        <v>32</v>
      </c>
      <c r="J1212" t="s">
        <v>78</v>
      </c>
      <c r="K1212" t="s">
        <v>844</v>
      </c>
      <c r="L1212" t="s">
        <v>2742</v>
      </c>
      <c r="M1212" t="s">
        <v>83</v>
      </c>
      <c r="N1212" t="s">
        <v>2743</v>
      </c>
      <c r="O1212">
        <v>1</v>
      </c>
      <c r="P1212">
        <v>1</v>
      </c>
      <c r="Q1212">
        <v>0</v>
      </c>
      <c r="R1212" s="1">
        <v>46195.688807870371</v>
      </c>
      <c r="S1212" s="1">
        <v>46206.364479166667</v>
      </c>
    </row>
    <row r="1213" spans="1:19" x14ac:dyDescent="0.25">
      <c r="A1213">
        <v>2100112104</v>
      </c>
      <c r="B1213" t="s">
        <v>28</v>
      </c>
      <c r="C1213" t="s">
        <v>29</v>
      </c>
      <c r="D1213" t="s">
        <v>2750</v>
      </c>
      <c r="E1213" t="s">
        <v>2751</v>
      </c>
      <c r="F1213" t="e">
        <f>--ds-btn-size-medium-border-radius</f>
        <v>#NAME?</v>
      </c>
      <c r="G1213" t="s">
        <v>86</v>
      </c>
      <c r="H1213" t="s">
        <v>86</v>
      </c>
      <c r="I1213" t="s">
        <v>32</v>
      </c>
      <c r="J1213" t="s">
        <v>69</v>
      </c>
      <c r="K1213" t="s">
        <v>844</v>
      </c>
      <c r="L1213" t="s">
        <v>2742</v>
      </c>
      <c r="M1213" t="s">
        <v>2698</v>
      </c>
      <c r="N1213" t="s">
        <v>2743</v>
      </c>
      <c r="O1213">
        <v>1</v>
      </c>
      <c r="P1213">
        <v>1</v>
      </c>
      <c r="Q1213">
        <v>0</v>
      </c>
      <c r="R1213" s="1">
        <v>46195.688807870371</v>
      </c>
      <c r="S1213" s="1">
        <v>46206.364479166667</v>
      </c>
    </row>
    <row r="1214" spans="1:19" x14ac:dyDescent="0.25">
      <c r="A1214">
        <v>2100112105</v>
      </c>
      <c r="B1214" t="s">
        <v>28</v>
      </c>
      <c r="C1214" t="s">
        <v>29</v>
      </c>
      <c r="D1214" t="s">
        <v>2752</v>
      </c>
      <c r="E1214" t="s">
        <v>2753</v>
      </c>
      <c r="F1214" t="e">
        <f>--ds-btn-size-medium-gap</f>
        <v>#NAME?</v>
      </c>
      <c r="G1214" t="s">
        <v>86</v>
      </c>
      <c r="H1214" t="s">
        <v>86</v>
      </c>
      <c r="I1214" t="s">
        <v>32</v>
      </c>
      <c r="J1214" t="s">
        <v>78</v>
      </c>
      <c r="K1214" t="s">
        <v>844</v>
      </c>
      <c r="L1214" t="s">
        <v>2742</v>
      </c>
      <c r="M1214" t="s">
        <v>87</v>
      </c>
      <c r="N1214" t="s">
        <v>2743</v>
      </c>
      <c r="O1214">
        <v>1</v>
      </c>
      <c r="P1214">
        <v>1</v>
      </c>
      <c r="Q1214">
        <v>0</v>
      </c>
      <c r="R1214" s="1">
        <v>46195.688807870371</v>
      </c>
      <c r="S1214" s="1">
        <v>46206.364479166667</v>
      </c>
    </row>
    <row r="1215" spans="1:19" x14ac:dyDescent="0.25">
      <c r="A1215">
        <v>2100112106</v>
      </c>
      <c r="B1215" t="s">
        <v>28</v>
      </c>
      <c r="C1215" t="s">
        <v>29</v>
      </c>
      <c r="D1215" t="s">
        <v>2754</v>
      </c>
      <c r="E1215" t="s">
        <v>2755</v>
      </c>
      <c r="F1215" t="e">
        <f>--ds-btn-size-medium-icon-size</f>
        <v>#NAME?</v>
      </c>
      <c r="G1215" t="s">
        <v>105</v>
      </c>
      <c r="H1215" t="s">
        <v>105</v>
      </c>
      <c r="I1215" t="s">
        <v>32</v>
      </c>
      <c r="J1215" t="s">
        <v>78</v>
      </c>
      <c r="K1215" t="s">
        <v>844</v>
      </c>
      <c r="L1215" t="s">
        <v>2742</v>
      </c>
      <c r="M1215" t="s">
        <v>106</v>
      </c>
      <c r="N1215" t="s">
        <v>2743</v>
      </c>
      <c r="O1215">
        <v>1</v>
      </c>
      <c r="P1215">
        <v>1</v>
      </c>
      <c r="Q1215">
        <v>0</v>
      </c>
      <c r="R1215" s="1">
        <v>46195.688807870371</v>
      </c>
      <c r="S1215" s="1">
        <v>46206.364479166667</v>
      </c>
    </row>
    <row r="1216" spans="1:19" x14ac:dyDescent="0.25">
      <c r="A1216">
        <v>2100112107</v>
      </c>
      <c r="B1216" t="s">
        <v>28</v>
      </c>
      <c r="C1216" t="s">
        <v>29</v>
      </c>
      <c r="D1216" t="s">
        <v>2756</v>
      </c>
      <c r="E1216" t="s">
        <v>2757</v>
      </c>
      <c r="F1216" t="e">
        <f>--ds-btn-size-medium-spinner-size</f>
        <v>#NAME?</v>
      </c>
      <c r="G1216" t="s">
        <v>105</v>
      </c>
      <c r="H1216" t="s">
        <v>105</v>
      </c>
      <c r="I1216" t="s">
        <v>32</v>
      </c>
      <c r="J1216" t="s">
        <v>78</v>
      </c>
      <c r="K1216" t="s">
        <v>844</v>
      </c>
      <c r="L1216" t="s">
        <v>2742</v>
      </c>
      <c r="M1216" t="s">
        <v>1860</v>
      </c>
      <c r="N1216" t="s">
        <v>2743</v>
      </c>
      <c r="O1216">
        <v>1</v>
      </c>
      <c r="P1216">
        <v>1</v>
      </c>
      <c r="Q1216">
        <v>0</v>
      </c>
      <c r="R1216" s="1">
        <v>46195.688807870371</v>
      </c>
      <c r="S1216" s="1">
        <v>46206.364479166667</v>
      </c>
    </row>
    <row r="1217" spans="1:19" x14ac:dyDescent="0.25">
      <c r="A1217">
        <v>2100112108</v>
      </c>
      <c r="B1217" t="s">
        <v>28</v>
      </c>
      <c r="C1217" t="s">
        <v>29</v>
      </c>
      <c r="D1217" t="s">
        <v>2758</v>
      </c>
      <c r="E1217" t="s">
        <v>2759</v>
      </c>
      <c r="F1217" t="e">
        <f>--ds-btn-size-medium-min-width</f>
        <v>#NAME?</v>
      </c>
      <c r="G1217" t="s">
        <v>2708</v>
      </c>
      <c r="H1217" t="s">
        <v>2708</v>
      </c>
      <c r="I1217" t="s">
        <v>32</v>
      </c>
      <c r="J1217" t="s">
        <v>78</v>
      </c>
      <c r="K1217" t="s">
        <v>844</v>
      </c>
      <c r="L1217" t="s">
        <v>2742</v>
      </c>
      <c r="M1217" t="s">
        <v>2709</v>
      </c>
      <c r="N1217" t="s">
        <v>2743</v>
      </c>
      <c r="O1217">
        <v>1</v>
      </c>
      <c r="P1217">
        <v>1</v>
      </c>
      <c r="Q1217">
        <v>0</v>
      </c>
      <c r="R1217" s="1">
        <v>46195.688807870371</v>
      </c>
      <c r="S1217" s="1">
        <v>46206.364479166667</v>
      </c>
    </row>
    <row r="1218" spans="1:19" x14ac:dyDescent="0.25">
      <c r="A1218">
        <v>2100112109</v>
      </c>
      <c r="B1218" t="s">
        <v>28</v>
      </c>
      <c r="C1218" t="s">
        <v>29</v>
      </c>
      <c r="D1218" t="s">
        <v>2760</v>
      </c>
      <c r="E1218" t="s">
        <v>2761</v>
      </c>
      <c r="F1218" t="e">
        <f>--ds-btn-size-medium-height</f>
        <v>#NAME?</v>
      </c>
      <c r="G1218" t="s">
        <v>2708</v>
      </c>
      <c r="H1218" t="s">
        <v>2708</v>
      </c>
      <c r="I1218" t="s">
        <v>32</v>
      </c>
      <c r="J1218" t="s">
        <v>78</v>
      </c>
      <c r="K1218" t="s">
        <v>844</v>
      </c>
      <c r="L1218" t="s">
        <v>2742</v>
      </c>
      <c r="M1218" t="s">
        <v>2712</v>
      </c>
      <c r="N1218" t="s">
        <v>2743</v>
      </c>
      <c r="O1218">
        <v>1</v>
      </c>
      <c r="P1218">
        <v>1</v>
      </c>
      <c r="Q1218">
        <v>0</v>
      </c>
      <c r="R1218" s="1">
        <v>46195.688807870371</v>
      </c>
      <c r="S1218" s="1">
        <v>46206.364479166667</v>
      </c>
    </row>
    <row r="1219" spans="1:19" x14ac:dyDescent="0.25">
      <c r="A1219">
        <v>2100112110</v>
      </c>
      <c r="B1219" t="s">
        <v>28</v>
      </c>
      <c r="C1219" t="s">
        <v>29</v>
      </c>
      <c r="D1219" t="s">
        <v>2762</v>
      </c>
      <c r="E1219" t="s">
        <v>2763</v>
      </c>
      <c r="F1219" t="e">
        <f>--ds-btn-size-medium-font-weight</f>
        <v>#NAME?</v>
      </c>
      <c r="G1219">
        <v>500</v>
      </c>
      <c r="H1219">
        <v>500</v>
      </c>
      <c r="I1219" t="s">
        <v>32</v>
      </c>
      <c r="J1219" t="s">
        <v>2560</v>
      </c>
      <c r="K1219" t="s">
        <v>844</v>
      </c>
      <c r="L1219" t="s">
        <v>2742</v>
      </c>
      <c r="M1219" t="s">
        <v>2564</v>
      </c>
      <c r="N1219" t="s">
        <v>2743</v>
      </c>
      <c r="O1219">
        <v>1</v>
      </c>
      <c r="P1219">
        <v>0</v>
      </c>
      <c r="Q1219">
        <v>0</v>
      </c>
      <c r="R1219" s="1">
        <v>46195.688807870371</v>
      </c>
      <c r="S1219" s="1">
        <v>46206.364479166667</v>
      </c>
    </row>
    <row r="1220" spans="1:19" x14ac:dyDescent="0.25">
      <c r="A1220">
        <v>2100112111</v>
      </c>
      <c r="B1220" t="s">
        <v>28</v>
      </c>
      <c r="C1220" t="s">
        <v>29</v>
      </c>
      <c r="D1220" t="s">
        <v>2764</v>
      </c>
      <c r="E1220" t="s">
        <v>2765</v>
      </c>
      <c r="F1220" t="e">
        <f>--ds-btn-size-medium-letter-spacing</f>
        <v>#NAME?</v>
      </c>
      <c r="G1220">
        <v>0</v>
      </c>
      <c r="H1220">
        <v>0</v>
      </c>
      <c r="I1220" t="s">
        <v>32</v>
      </c>
      <c r="J1220" t="s">
        <v>2560</v>
      </c>
      <c r="K1220" t="s">
        <v>844</v>
      </c>
      <c r="L1220" t="s">
        <v>2742</v>
      </c>
      <c r="M1220" t="s">
        <v>2717</v>
      </c>
      <c r="N1220" t="s">
        <v>2743</v>
      </c>
      <c r="O1220">
        <v>1</v>
      </c>
      <c r="P1220">
        <v>0</v>
      </c>
      <c r="Q1220">
        <v>0</v>
      </c>
      <c r="R1220" s="1">
        <v>46195.688807870371</v>
      </c>
      <c r="S1220" s="1">
        <v>46206.364479166667</v>
      </c>
    </row>
    <row r="1221" spans="1:19" x14ac:dyDescent="0.25">
      <c r="A1221">
        <v>2100112112</v>
      </c>
      <c r="B1221" t="s">
        <v>28</v>
      </c>
      <c r="C1221" t="s">
        <v>29</v>
      </c>
      <c r="D1221" t="s">
        <v>2766</v>
      </c>
      <c r="E1221" t="s">
        <v>2767</v>
      </c>
      <c r="F1221" t="e">
        <f>--ds-btn-size-medium-text-transform</f>
        <v>#NAME?</v>
      </c>
      <c r="G1221" t="s">
        <v>94</v>
      </c>
      <c r="H1221" t="s">
        <v>94</v>
      </c>
      <c r="I1221" t="s">
        <v>32</v>
      </c>
      <c r="J1221" t="s">
        <v>2560</v>
      </c>
      <c r="K1221" t="s">
        <v>844</v>
      </c>
      <c r="L1221" t="s">
        <v>2742</v>
      </c>
      <c r="M1221" t="s">
        <v>2720</v>
      </c>
      <c r="N1221" t="s">
        <v>2743</v>
      </c>
      <c r="O1221">
        <v>1</v>
      </c>
      <c r="P1221">
        <v>0</v>
      </c>
      <c r="Q1221">
        <v>0</v>
      </c>
      <c r="R1221" s="1">
        <v>46195.688807870371</v>
      </c>
      <c r="S1221" s="1">
        <v>46206.364479166667</v>
      </c>
    </row>
    <row r="1222" spans="1:19" x14ac:dyDescent="0.25">
      <c r="A1222">
        <v>2100112113</v>
      </c>
      <c r="B1222" t="s">
        <v>28</v>
      </c>
      <c r="C1222" t="s">
        <v>29</v>
      </c>
      <c r="D1222" t="s">
        <v>2768</v>
      </c>
      <c r="E1222" t="s">
        <v>2769</v>
      </c>
      <c r="F1222" t="e">
        <f>--ds-btn-size-medium-outline</f>
        <v>#NAME?</v>
      </c>
      <c r="G1222" t="s">
        <v>94</v>
      </c>
      <c r="H1222" t="s">
        <v>94</v>
      </c>
      <c r="I1222" t="s">
        <v>32</v>
      </c>
      <c r="J1222" t="s">
        <v>69</v>
      </c>
      <c r="K1222" t="s">
        <v>844</v>
      </c>
      <c r="L1222" t="s">
        <v>2742</v>
      </c>
      <c r="M1222" t="s">
        <v>95</v>
      </c>
      <c r="N1222" t="s">
        <v>2743</v>
      </c>
      <c r="O1222">
        <v>1</v>
      </c>
      <c r="P1222">
        <v>0</v>
      </c>
      <c r="Q1222">
        <v>0</v>
      </c>
      <c r="R1222" s="1">
        <v>46195.688807870371</v>
      </c>
      <c r="S1222" s="1">
        <v>46206.364479166667</v>
      </c>
    </row>
    <row r="1223" spans="1:19" x14ac:dyDescent="0.25">
      <c r="A1223">
        <v>2100112114</v>
      </c>
      <c r="B1223" t="s">
        <v>28</v>
      </c>
      <c r="C1223" t="s">
        <v>29</v>
      </c>
      <c r="D1223" t="s">
        <v>2770</v>
      </c>
      <c r="E1223" t="s">
        <v>2771</v>
      </c>
      <c r="F1223" t="e">
        <f>--ds-btn-size-medium-transition</f>
        <v>#NAME?</v>
      </c>
      <c r="G1223" t="s">
        <v>98</v>
      </c>
      <c r="H1223" t="s">
        <v>98</v>
      </c>
      <c r="I1223" t="s">
        <v>32</v>
      </c>
      <c r="J1223" t="s">
        <v>69</v>
      </c>
      <c r="K1223" t="s">
        <v>844</v>
      </c>
      <c r="L1223" t="s">
        <v>2742</v>
      </c>
      <c r="M1223" t="s">
        <v>99</v>
      </c>
      <c r="N1223" t="s">
        <v>2743</v>
      </c>
      <c r="O1223">
        <v>1</v>
      </c>
      <c r="P1223">
        <v>0</v>
      </c>
      <c r="Q1223">
        <v>0</v>
      </c>
      <c r="R1223" s="1">
        <v>46195.688807870371</v>
      </c>
      <c r="S1223" s="1">
        <v>46206.364479166667</v>
      </c>
    </row>
    <row r="1224" spans="1:19" x14ac:dyDescent="0.25">
      <c r="A1224">
        <v>2100112115</v>
      </c>
      <c r="B1224" t="s">
        <v>28</v>
      </c>
      <c r="C1224" t="s">
        <v>29</v>
      </c>
      <c r="D1224" t="s">
        <v>2772</v>
      </c>
      <c r="E1224" t="s">
        <v>2773</v>
      </c>
      <c r="F1224" t="e">
        <f>--ds-btn-size-medium-focus-ring</f>
        <v>#NAME?</v>
      </c>
      <c r="G1224" t="s">
        <v>2727</v>
      </c>
      <c r="H1224" t="s">
        <v>2727</v>
      </c>
      <c r="I1224" t="s">
        <v>32</v>
      </c>
      <c r="J1224" t="s">
        <v>69</v>
      </c>
      <c r="K1224" t="s">
        <v>844</v>
      </c>
      <c r="L1224" t="s">
        <v>2742</v>
      </c>
      <c r="M1224" t="s">
        <v>91</v>
      </c>
      <c r="N1224" t="s">
        <v>2743</v>
      </c>
      <c r="O1224">
        <v>1</v>
      </c>
      <c r="P1224">
        <v>0</v>
      </c>
      <c r="Q1224">
        <v>0</v>
      </c>
      <c r="R1224" s="1">
        <v>46195.688807870371</v>
      </c>
      <c r="S1224" s="1">
        <v>46206.364479166667</v>
      </c>
    </row>
    <row r="1225" spans="1:19" x14ac:dyDescent="0.25">
      <c r="A1225">
        <v>2100112116</v>
      </c>
      <c r="B1225" t="s">
        <v>28</v>
      </c>
      <c r="C1225" t="s">
        <v>29</v>
      </c>
      <c r="D1225" t="s">
        <v>2774</v>
      </c>
      <c r="E1225" t="s">
        <v>2775</v>
      </c>
      <c r="F1225" t="e">
        <f>--ds-btn-size-medium-corner-radius-top-left</f>
        <v>#NAME?</v>
      </c>
      <c r="G1225" t="s">
        <v>86</v>
      </c>
      <c r="H1225" t="s">
        <v>86</v>
      </c>
      <c r="I1225" t="s">
        <v>32</v>
      </c>
      <c r="J1225" t="s">
        <v>69</v>
      </c>
      <c r="K1225" t="s">
        <v>844</v>
      </c>
      <c r="L1225" t="s">
        <v>2742</v>
      </c>
      <c r="M1225" t="s">
        <v>2730</v>
      </c>
      <c r="N1225" t="s">
        <v>2743</v>
      </c>
      <c r="O1225">
        <v>1</v>
      </c>
      <c r="P1225">
        <v>0</v>
      </c>
      <c r="Q1225">
        <v>0</v>
      </c>
      <c r="R1225" s="1">
        <v>46195.688807870371</v>
      </c>
      <c r="S1225" s="1">
        <v>46206.364479166667</v>
      </c>
    </row>
    <row r="1226" spans="1:19" x14ac:dyDescent="0.25">
      <c r="A1226">
        <v>2100112117</v>
      </c>
      <c r="B1226" t="s">
        <v>28</v>
      </c>
      <c r="C1226" t="s">
        <v>29</v>
      </c>
      <c r="D1226" t="s">
        <v>2776</v>
      </c>
      <c r="E1226" t="s">
        <v>2777</v>
      </c>
      <c r="F1226" t="e">
        <f>--ds-btn-size-medium-corner-radius-top-right</f>
        <v>#NAME?</v>
      </c>
      <c r="G1226" t="s">
        <v>86</v>
      </c>
      <c r="H1226" t="s">
        <v>86</v>
      </c>
      <c r="I1226" t="s">
        <v>32</v>
      </c>
      <c r="J1226" t="s">
        <v>69</v>
      </c>
      <c r="K1226" t="s">
        <v>844</v>
      </c>
      <c r="L1226" t="s">
        <v>2742</v>
      </c>
      <c r="M1226" t="s">
        <v>2733</v>
      </c>
      <c r="N1226" t="s">
        <v>2743</v>
      </c>
      <c r="O1226">
        <v>1</v>
      </c>
      <c r="P1226">
        <v>0</v>
      </c>
      <c r="Q1226">
        <v>0</v>
      </c>
      <c r="R1226" s="1">
        <v>46195.688807870371</v>
      </c>
      <c r="S1226" s="1">
        <v>46206.364479166667</v>
      </c>
    </row>
    <row r="1227" spans="1:19" x14ac:dyDescent="0.25">
      <c r="A1227">
        <v>2100112118</v>
      </c>
      <c r="B1227" t="s">
        <v>28</v>
      </c>
      <c r="C1227" t="s">
        <v>29</v>
      </c>
      <c r="D1227" t="s">
        <v>2778</v>
      </c>
      <c r="E1227" t="s">
        <v>2779</v>
      </c>
      <c r="F1227" t="e">
        <f>--ds-btn-size-medium-corner-radius-bottom-left</f>
        <v>#NAME?</v>
      </c>
      <c r="G1227" t="s">
        <v>86</v>
      </c>
      <c r="H1227" t="s">
        <v>86</v>
      </c>
      <c r="I1227" t="s">
        <v>32</v>
      </c>
      <c r="J1227" t="s">
        <v>69</v>
      </c>
      <c r="K1227" t="s">
        <v>844</v>
      </c>
      <c r="L1227" t="s">
        <v>2742</v>
      </c>
      <c r="M1227" t="s">
        <v>2736</v>
      </c>
      <c r="N1227" t="s">
        <v>2743</v>
      </c>
      <c r="O1227">
        <v>1</v>
      </c>
      <c r="P1227">
        <v>0</v>
      </c>
      <c r="Q1227">
        <v>0</v>
      </c>
      <c r="R1227" s="1">
        <v>46195.688807870371</v>
      </c>
      <c r="S1227" s="1">
        <v>46206.364479166667</v>
      </c>
    </row>
    <row r="1228" spans="1:19" x14ac:dyDescent="0.25">
      <c r="A1228">
        <v>2100112119</v>
      </c>
      <c r="B1228" t="s">
        <v>28</v>
      </c>
      <c r="C1228" t="s">
        <v>29</v>
      </c>
      <c r="D1228" t="s">
        <v>2780</v>
      </c>
      <c r="E1228" t="s">
        <v>2781</v>
      </c>
      <c r="F1228" t="e">
        <f>--ds-btn-size-medium-corner-radius-bottom-right</f>
        <v>#NAME?</v>
      </c>
      <c r="G1228" t="s">
        <v>86</v>
      </c>
      <c r="H1228" t="s">
        <v>86</v>
      </c>
      <c r="I1228" t="s">
        <v>32</v>
      </c>
      <c r="J1228" t="s">
        <v>69</v>
      </c>
      <c r="K1228" t="s">
        <v>844</v>
      </c>
      <c r="L1228" t="s">
        <v>2742</v>
      </c>
      <c r="M1228" t="s">
        <v>2739</v>
      </c>
      <c r="N1228" t="s">
        <v>2743</v>
      </c>
      <c r="O1228">
        <v>1</v>
      </c>
      <c r="P1228">
        <v>0</v>
      </c>
      <c r="Q1228">
        <v>0</v>
      </c>
      <c r="R1228" s="1">
        <v>46195.688807870371</v>
      </c>
      <c r="S1228" s="1">
        <v>46206.364479166667</v>
      </c>
    </row>
    <row r="1229" spans="1:19" x14ac:dyDescent="0.25">
      <c r="A1229">
        <v>2100112200</v>
      </c>
      <c r="B1229" t="s">
        <v>28</v>
      </c>
      <c r="C1229" t="s">
        <v>29</v>
      </c>
      <c r="D1229" t="s">
        <v>2782</v>
      </c>
      <c r="E1229" t="s">
        <v>2783</v>
      </c>
      <c r="F1229" t="e">
        <f>--ds-btn-size-large-font-size</f>
        <v>#NAME?</v>
      </c>
      <c r="G1229" t="s">
        <v>2784</v>
      </c>
      <c r="H1229" t="s">
        <v>2784</v>
      </c>
      <c r="I1229" t="s">
        <v>32</v>
      </c>
      <c r="J1229" t="s">
        <v>2560</v>
      </c>
      <c r="K1229" t="s">
        <v>844</v>
      </c>
      <c r="L1229" t="s">
        <v>2785</v>
      </c>
      <c r="M1229" t="s">
        <v>2561</v>
      </c>
      <c r="N1229" t="s">
        <v>2786</v>
      </c>
      <c r="O1229">
        <v>1</v>
      </c>
      <c r="P1229">
        <v>1</v>
      </c>
      <c r="Q1229">
        <v>0</v>
      </c>
      <c r="R1229" s="1">
        <v>46195.689351851855</v>
      </c>
      <c r="S1229" s="1">
        <v>46206.364479166667</v>
      </c>
    </row>
    <row r="1230" spans="1:19" x14ac:dyDescent="0.25">
      <c r="A1230">
        <v>2100112201</v>
      </c>
      <c r="B1230" t="s">
        <v>28</v>
      </c>
      <c r="C1230" t="s">
        <v>29</v>
      </c>
      <c r="D1230" t="s">
        <v>2787</v>
      </c>
      <c r="E1230" t="s">
        <v>2788</v>
      </c>
      <c r="F1230" t="e">
        <f>--ds-btn-size-large-line-height</f>
        <v>#NAME?</v>
      </c>
      <c r="G1230">
        <v>1.3</v>
      </c>
      <c r="H1230">
        <v>1.3</v>
      </c>
      <c r="I1230" t="s">
        <v>32</v>
      </c>
      <c r="J1230" t="s">
        <v>2560</v>
      </c>
      <c r="K1230" t="s">
        <v>844</v>
      </c>
      <c r="L1230" t="s">
        <v>2785</v>
      </c>
      <c r="M1230" t="s">
        <v>109</v>
      </c>
      <c r="N1230" t="s">
        <v>2786</v>
      </c>
      <c r="O1230">
        <v>1</v>
      </c>
      <c r="P1230">
        <v>1</v>
      </c>
      <c r="Q1230">
        <v>0</v>
      </c>
      <c r="R1230" s="1">
        <v>46195.689351851855</v>
      </c>
      <c r="S1230" s="1">
        <v>46206.364479166667</v>
      </c>
    </row>
    <row r="1231" spans="1:19" x14ac:dyDescent="0.25">
      <c r="A1231">
        <v>2100112202</v>
      </c>
      <c r="B1231" t="s">
        <v>28</v>
      </c>
      <c r="C1231" t="s">
        <v>29</v>
      </c>
      <c r="D1231" t="s">
        <v>2789</v>
      </c>
      <c r="E1231" t="s">
        <v>2790</v>
      </c>
      <c r="F1231" t="e">
        <f>--ds-btn-size-large-padding-x</f>
        <v>#NAME?</v>
      </c>
      <c r="G1231" t="s">
        <v>105</v>
      </c>
      <c r="H1231" t="s">
        <v>105</v>
      </c>
      <c r="I1231" t="s">
        <v>32</v>
      </c>
      <c r="J1231" t="s">
        <v>78</v>
      </c>
      <c r="K1231" t="s">
        <v>844</v>
      </c>
      <c r="L1231" t="s">
        <v>2785</v>
      </c>
      <c r="M1231" t="s">
        <v>79</v>
      </c>
      <c r="N1231" t="s">
        <v>2786</v>
      </c>
      <c r="O1231">
        <v>1</v>
      </c>
      <c r="P1231">
        <v>1</v>
      </c>
      <c r="Q1231">
        <v>0</v>
      </c>
      <c r="R1231" s="1">
        <v>46195.689351851855</v>
      </c>
      <c r="S1231" s="1">
        <v>46206.364479166667</v>
      </c>
    </row>
    <row r="1232" spans="1:19" x14ac:dyDescent="0.25">
      <c r="A1232">
        <v>2100112203</v>
      </c>
      <c r="B1232" t="s">
        <v>28</v>
      </c>
      <c r="C1232" t="s">
        <v>29</v>
      </c>
      <c r="D1232" t="s">
        <v>2791</v>
      </c>
      <c r="E1232" t="s">
        <v>2792</v>
      </c>
      <c r="F1232" t="e">
        <f>--ds-btn-size-large-padding-y</f>
        <v>#NAME?</v>
      </c>
      <c r="G1232" t="s">
        <v>2793</v>
      </c>
      <c r="H1232" t="s">
        <v>2793</v>
      </c>
      <c r="I1232" t="s">
        <v>32</v>
      </c>
      <c r="J1232" t="s">
        <v>78</v>
      </c>
      <c r="K1232" t="s">
        <v>844</v>
      </c>
      <c r="L1232" t="s">
        <v>2785</v>
      </c>
      <c r="M1232" t="s">
        <v>83</v>
      </c>
      <c r="N1232" t="s">
        <v>2786</v>
      </c>
      <c r="O1232">
        <v>1</v>
      </c>
      <c r="P1232">
        <v>1</v>
      </c>
      <c r="Q1232">
        <v>0</v>
      </c>
      <c r="R1232" s="1">
        <v>46195.689351851855</v>
      </c>
      <c r="S1232" s="1">
        <v>46206.364479166667</v>
      </c>
    </row>
    <row r="1233" spans="1:19" x14ac:dyDescent="0.25">
      <c r="A1233">
        <v>2100112204</v>
      </c>
      <c r="B1233" t="s">
        <v>28</v>
      </c>
      <c r="C1233" t="s">
        <v>29</v>
      </c>
      <c r="D1233" t="s">
        <v>2794</v>
      </c>
      <c r="E1233" t="s">
        <v>2795</v>
      </c>
      <c r="F1233" t="e">
        <f>--ds-btn-size-large-border-radius</f>
        <v>#NAME?</v>
      </c>
      <c r="G1233" t="s">
        <v>82</v>
      </c>
      <c r="H1233" t="s">
        <v>82</v>
      </c>
      <c r="I1233" t="s">
        <v>32</v>
      </c>
      <c r="J1233" t="s">
        <v>69</v>
      </c>
      <c r="K1233" t="s">
        <v>844</v>
      </c>
      <c r="L1233" t="s">
        <v>2785</v>
      </c>
      <c r="M1233" t="s">
        <v>2698</v>
      </c>
      <c r="N1233" t="s">
        <v>2786</v>
      </c>
      <c r="O1233">
        <v>1</v>
      </c>
      <c r="P1233">
        <v>1</v>
      </c>
      <c r="Q1233">
        <v>0</v>
      </c>
      <c r="R1233" s="1">
        <v>46195.689351851855</v>
      </c>
      <c r="S1233" s="1">
        <v>46206.364479166667</v>
      </c>
    </row>
    <row r="1234" spans="1:19" x14ac:dyDescent="0.25">
      <c r="A1234">
        <v>2100112205</v>
      </c>
      <c r="B1234" t="s">
        <v>28</v>
      </c>
      <c r="C1234" t="s">
        <v>29</v>
      </c>
      <c r="D1234" t="s">
        <v>2796</v>
      </c>
      <c r="E1234" t="s">
        <v>2797</v>
      </c>
      <c r="F1234" t="e">
        <f>--ds-btn-size-large-gap</f>
        <v>#NAME?</v>
      </c>
      <c r="G1234" t="s">
        <v>82</v>
      </c>
      <c r="H1234" t="s">
        <v>82</v>
      </c>
      <c r="I1234" t="s">
        <v>32</v>
      </c>
      <c r="J1234" t="s">
        <v>78</v>
      </c>
      <c r="K1234" t="s">
        <v>844</v>
      </c>
      <c r="L1234" t="s">
        <v>2785</v>
      </c>
      <c r="M1234" t="s">
        <v>87</v>
      </c>
      <c r="N1234" t="s">
        <v>2786</v>
      </c>
      <c r="O1234">
        <v>1</v>
      </c>
      <c r="P1234">
        <v>1</v>
      </c>
      <c r="Q1234">
        <v>0</v>
      </c>
      <c r="R1234" s="1">
        <v>46195.689351851855</v>
      </c>
      <c r="S1234" s="1">
        <v>46206.364479166667</v>
      </c>
    </row>
    <row r="1235" spans="1:19" x14ac:dyDescent="0.25">
      <c r="A1235">
        <v>2100112206</v>
      </c>
      <c r="B1235" t="s">
        <v>28</v>
      </c>
      <c r="C1235" t="s">
        <v>29</v>
      </c>
      <c r="D1235" t="s">
        <v>2798</v>
      </c>
      <c r="E1235" t="s">
        <v>2799</v>
      </c>
      <c r="F1235" t="e">
        <f>--ds-btn-size-large-icon-size</f>
        <v>#NAME?</v>
      </c>
      <c r="G1235" t="s">
        <v>2800</v>
      </c>
      <c r="H1235" t="s">
        <v>2800</v>
      </c>
      <c r="I1235" t="s">
        <v>32</v>
      </c>
      <c r="J1235" t="s">
        <v>78</v>
      </c>
      <c r="K1235" t="s">
        <v>844</v>
      </c>
      <c r="L1235" t="s">
        <v>2785</v>
      </c>
      <c r="M1235" t="s">
        <v>106</v>
      </c>
      <c r="N1235" t="s">
        <v>2786</v>
      </c>
      <c r="O1235">
        <v>1</v>
      </c>
      <c r="P1235">
        <v>1</v>
      </c>
      <c r="Q1235">
        <v>0</v>
      </c>
      <c r="R1235" s="1">
        <v>46195.689351851855</v>
      </c>
      <c r="S1235" s="1">
        <v>46206.364479166667</v>
      </c>
    </row>
    <row r="1236" spans="1:19" x14ac:dyDescent="0.25">
      <c r="A1236">
        <v>2100112207</v>
      </c>
      <c r="B1236" t="s">
        <v>28</v>
      </c>
      <c r="C1236" t="s">
        <v>29</v>
      </c>
      <c r="D1236" t="s">
        <v>2801</v>
      </c>
      <c r="E1236" t="s">
        <v>2802</v>
      </c>
      <c r="F1236" t="e">
        <f>--ds-btn-size-large-spinner-size</f>
        <v>#NAME?</v>
      </c>
      <c r="G1236" t="s">
        <v>2800</v>
      </c>
      <c r="H1236" t="s">
        <v>2800</v>
      </c>
      <c r="I1236" t="s">
        <v>32</v>
      </c>
      <c r="J1236" t="s">
        <v>78</v>
      </c>
      <c r="K1236" t="s">
        <v>844</v>
      </c>
      <c r="L1236" t="s">
        <v>2785</v>
      </c>
      <c r="M1236" t="s">
        <v>1860</v>
      </c>
      <c r="N1236" t="s">
        <v>2786</v>
      </c>
      <c r="O1236">
        <v>1</v>
      </c>
      <c r="P1236">
        <v>1</v>
      </c>
      <c r="Q1236">
        <v>0</v>
      </c>
      <c r="R1236" s="1">
        <v>46195.689351851855</v>
      </c>
      <c r="S1236" s="1">
        <v>46206.364479166667</v>
      </c>
    </row>
    <row r="1237" spans="1:19" x14ac:dyDescent="0.25">
      <c r="A1237">
        <v>2100112208</v>
      </c>
      <c r="B1237" t="s">
        <v>28</v>
      </c>
      <c r="C1237" t="s">
        <v>29</v>
      </c>
      <c r="D1237" t="s">
        <v>2803</v>
      </c>
      <c r="E1237" t="s">
        <v>2804</v>
      </c>
      <c r="F1237" t="e">
        <f>--ds-btn-size-large-min-width</f>
        <v>#NAME?</v>
      </c>
      <c r="G1237" t="s">
        <v>2708</v>
      </c>
      <c r="H1237" t="s">
        <v>2708</v>
      </c>
      <c r="I1237" t="s">
        <v>32</v>
      </c>
      <c r="J1237" t="s">
        <v>78</v>
      </c>
      <c r="K1237" t="s">
        <v>844</v>
      </c>
      <c r="L1237" t="s">
        <v>2785</v>
      </c>
      <c r="M1237" t="s">
        <v>2709</v>
      </c>
      <c r="N1237" t="s">
        <v>2786</v>
      </c>
      <c r="O1237">
        <v>1</v>
      </c>
      <c r="P1237">
        <v>1</v>
      </c>
      <c r="Q1237">
        <v>0</v>
      </c>
      <c r="R1237" s="1">
        <v>46195.689351851855</v>
      </c>
      <c r="S1237" s="1">
        <v>46206.364479166667</v>
      </c>
    </row>
    <row r="1238" spans="1:19" x14ac:dyDescent="0.25">
      <c r="A1238">
        <v>2100112209</v>
      </c>
      <c r="B1238" t="s">
        <v>28</v>
      </c>
      <c r="C1238" t="s">
        <v>29</v>
      </c>
      <c r="D1238" t="s">
        <v>2805</v>
      </c>
      <c r="E1238" t="s">
        <v>2806</v>
      </c>
      <c r="F1238" t="e">
        <f>--ds-btn-size-large-height</f>
        <v>#NAME?</v>
      </c>
      <c r="G1238" t="s">
        <v>2708</v>
      </c>
      <c r="H1238" t="s">
        <v>2708</v>
      </c>
      <c r="I1238" t="s">
        <v>32</v>
      </c>
      <c r="J1238" t="s">
        <v>78</v>
      </c>
      <c r="K1238" t="s">
        <v>844</v>
      </c>
      <c r="L1238" t="s">
        <v>2785</v>
      </c>
      <c r="M1238" t="s">
        <v>2712</v>
      </c>
      <c r="N1238" t="s">
        <v>2786</v>
      </c>
      <c r="O1238">
        <v>1</v>
      </c>
      <c r="P1238">
        <v>1</v>
      </c>
      <c r="Q1238">
        <v>0</v>
      </c>
      <c r="R1238" s="1">
        <v>46195.689351851855</v>
      </c>
      <c r="S1238" s="1">
        <v>46206.364479166667</v>
      </c>
    </row>
    <row r="1239" spans="1:19" x14ac:dyDescent="0.25">
      <c r="A1239">
        <v>2100112210</v>
      </c>
      <c r="B1239" t="s">
        <v>28</v>
      </c>
      <c r="C1239" t="s">
        <v>29</v>
      </c>
      <c r="D1239" t="s">
        <v>2807</v>
      </c>
      <c r="E1239" t="s">
        <v>2808</v>
      </c>
      <c r="F1239" t="e">
        <f>--ds-btn-size-large-font-weight</f>
        <v>#NAME?</v>
      </c>
      <c r="G1239">
        <v>500</v>
      </c>
      <c r="H1239">
        <v>500</v>
      </c>
      <c r="I1239" t="s">
        <v>32</v>
      </c>
      <c r="J1239" t="s">
        <v>2560</v>
      </c>
      <c r="K1239" t="s">
        <v>844</v>
      </c>
      <c r="L1239" t="s">
        <v>2785</v>
      </c>
      <c r="M1239" t="s">
        <v>2564</v>
      </c>
      <c r="N1239" t="s">
        <v>2786</v>
      </c>
      <c r="O1239">
        <v>1</v>
      </c>
      <c r="P1239">
        <v>0</v>
      </c>
      <c r="Q1239">
        <v>0</v>
      </c>
      <c r="R1239" s="1">
        <v>46195.689351851855</v>
      </c>
      <c r="S1239" s="1">
        <v>46206.364479166667</v>
      </c>
    </row>
    <row r="1240" spans="1:19" x14ac:dyDescent="0.25">
      <c r="A1240">
        <v>2100112211</v>
      </c>
      <c r="B1240" t="s">
        <v>28</v>
      </c>
      <c r="C1240" t="s">
        <v>29</v>
      </c>
      <c r="D1240" t="s">
        <v>2809</v>
      </c>
      <c r="E1240" t="s">
        <v>2810</v>
      </c>
      <c r="F1240" t="e">
        <f>--ds-btn-size-large-letter-spacing</f>
        <v>#NAME?</v>
      </c>
      <c r="G1240">
        <v>0</v>
      </c>
      <c r="H1240">
        <v>0</v>
      </c>
      <c r="I1240" t="s">
        <v>32</v>
      </c>
      <c r="J1240" t="s">
        <v>2560</v>
      </c>
      <c r="K1240" t="s">
        <v>844</v>
      </c>
      <c r="L1240" t="s">
        <v>2785</v>
      </c>
      <c r="M1240" t="s">
        <v>2717</v>
      </c>
      <c r="N1240" t="s">
        <v>2786</v>
      </c>
      <c r="O1240">
        <v>1</v>
      </c>
      <c r="P1240">
        <v>0</v>
      </c>
      <c r="Q1240">
        <v>0</v>
      </c>
      <c r="R1240" s="1">
        <v>46195.689351851855</v>
      </c>
      <c r="S1240" s="1">
        <v>46206.364479166667</v>
      </c>
    </row>
    <row r="1241" spans="1:19" x14ac:dyDescent="0.25">
      <c r="A1241">
        <v>2100112212</v>
      </c>
      <c r="B1241" t="s">
        <v>28</v>
      </c>
      <c r="C1241" t="s">
        <v>29</v>
      </c>
      <c r="D1241" t="s">
        <v>2811</v>
      </c>
      <c r="E1241" t="s">
        <v>2812</v>
      </c>
      <c r="F1241" t="e">
        <f>--ds-btn-size-large-text-transform</f>
        <v>#NAME?</v>
      </c>
      <c r="G1241" t="s">
        <v>94</v>
      </c>
      <c r="H1241" t="s">
        <v>94</v>
      </c>
      <c r="I1241" t="s">
        <v>32</v>
      </c>
      <c r="J1241" t="s">
        <v>2560</v>
      </c>
      <c r="K1241" t="s">
        <v>844</v>
      </c>
      <c r="L1241" t="s">
        <v>2785</v>
      </c>
      <c r="M1241" t="s">
        <v>2720</v>
      </c>
      <c r="N1241" t="s">
        <v>2786</v>
      </c>
      <c r="O1241">
        <v>1</v>
      </c>
      <c r="P1241">
        <v>0</v>
      </c>
      <c r="Q1241">
        <v>0</v>
      </c>
      <c r="R1241" s="1">
        <v>46195.689351851855</v>
      </c>
      <c r="S1241" s="1">
        <v>46206.364479166667</v>
      </c>
    </row>
    <row r="1242" spans="1:19" x14ac:dyDescent="0.25">
      <c r="A1242">
        <v>2100112213</v>
      </c>
      <c r="B1242" t="s">
        <v>28</v>
      </c>
      <c r="C1242" t="s">
        <v>29</v>
      </c>
      <c r="D1242" t="s">
        <v>2813</v>
      </c>
      <c r="E1242" t="s">
        <v>2814</v>
      </c>
      <c r="F1242" t="e">
        <f>--ds-btn-size-large-outline</f>
        <v>#NAME?</v>
      </c>
      <c r="G1242" t="s">
        <v>94</v>
      </c>
      <c r="H1242" t="s">
        <v>94</v>
      </c>
      <c r="I1242" t="s">
        <v>32</v>
      </c>
      <c r="J1242" t="s">
        <v>69</v>
      </c>
      <c r="K1242" t="s">
        <v>844</v>
      </c>
      <c r="L1242" t="s">
        <v>2785</v>
      </c>
      <c r="M1242" t="s">
        <v>95</v>
      </c>
      <c r="N1242" t="s">
        <v>2786</v>
      </c>
      <c r="O1242">
        <v>1</v>
      </c>
      <c r="P1242">
        <v>0</v>
      </c>
      <c r="Q1242">
        <v>0</v>
      </c>
      <c r="R1242" s="1">
        <v>46195.689351851855</v>
      </c>
      <c r="S1242" s="1">
        <v>46206.364479166667</v>
      </c>
    </row>
    <row r="1243" spans="1:19" x14ac:dyDescent="0.25">
      <c r="A1243">
        <v>2100112214</v>
      </c>
      <c r="B1243" t="s">
        <v>28</v>
      </c>
      <c r="C1243" t="s">
        <v>29</v>
      </c>
      <c r="D1243" t="s">
        <v>2815</v>
      </c>
      <c r="E1243" t="s">
        <v>2816</v>
      </c>
      <c r="F1243" t="e">
        <f>--ds-btn-size-large-transition</f>
        <v>#NAME?</v>
      </c>
      <c r="G1243" t="s">
        <v>98</v>
      </c>
      <c r="H1243" t="s">
        <v>98</v>
      </c>
      <c r="I1243" t="s">
        <v>32</v>
      </c>
      <c r="J1243" t="s">
        <v>69</v>
      </c>
      <c r="K1243" t="s">
        <v>844</v>
      </c>
      <c r="L1243" t="s">
        <v>2785</v>
      </c>
      <c r="M1243" t="s">
        <v>99</v>
      </c>
      <c r="N1243" t="s">
        <v>2786</v>
      </c>
      <c r="O1243">
        <v>1</v>
      </c>
      <c r="P1243">
        <v>0</v>
      </c>
      <c r="Q1243">
        <v>0</v>
      </c>
      <c r="R1243" s="1">
        <v>46195.689351851855</v>
      </c>
      <c r="S1243" s="1">
        <v>46206.364479166667</v>
      </c>
    </row>
    <row r="1244" spans="1:19" x14ac:dyDescent="0.25">
      <c r="A1244">
        <v>2100112215</v>
      </c>
      <c r="B1244" t="s">
        <v>28</v>
      </c>
      <c r="C1244" t="s">
        <v>29</v>
      </c>
      <c r="D1244" t="s">
        <v>2817</v>
      </c>
      <c r="E1244" t="s">
        <v>2818</v>
      </c>
      <c r="F1244" t="e">
        <f>--ds-btn-size-large-focus-ring</f>
        <v>#NAME?</v>
      </c>
      <c r="G1244" t="s">
        <v>2727</v>
      </c>
      <c r="H1244" t="s">
        <v>2727</v>
      </c>
      <c r="I1244" t="s">
        <v>32</v>
      </c>
      <c r="J1244" t="s">
        <v>69</v>
      </c>
      <c r="K1244" t="s">
        <v>844</v>
      </c>
      <c r="L1244" t="s">
        <v>2785</v>
      </c>
      <c r="M1244" t="s">
        <v>91</v>
      </c>
      <c r="N1244" t="s">
        <v>2786</v>
      </c>
      <c r="O1244">
        <v>1</v>
      </c>
      <c r="P1244">
        <v>0</v>
      </c>
      <c r="Q1244">
        <v>0</v>
      </c>
      <c r="R1244" s="1">
        <v>46195.689351851855</v>
      </c>
      <c r="S1244" s="1">
        <v>46206.364479166667</v>
      </c>
    </row>
    <row r="1245" spans="1:19" x14ac:dyDescent="0.25">
      <c r="A1245">
        <v>2100112216</v>
      </c>
      <c r="B1245" t="s">
        <v>28</v>
      </c>
      <c r="C1245" t="s">
        <v>29</v>
      </c>
      <c r="D1245" t="s">
        <v>2819</v>
      </c>
      <c r="E1245" t="s">
        <v>2820</v>
      </c>
      <c r="F1245" t="e">
        <f>--ds-btn-size-large-corner-radius-top-left</f>
        <v>#NAME?</v>
      </c>
      <c r="G1245" t="s">
        <v>82</v>
      </c>
      <c r="H1245" t="s">
        <v>82</v>
      </c>
      <c r="I1245" t="s">
        <v>32</v>
      </c>
      <c r="J1245" t="s">
        <v>69</v>
      </c>
      <c r="K1245" t="s">
        <v>844</v>
      </c>
      <c r="L1245" t="s">
        <v>2785</v>
      </c>
      <c r="M1245" t="s">
        <v>2730</v>
      </c>
      <c r="N1245" t="s">
        <v>2786</v>
      </c>
      <c r="O1245">
        <v>1</v>
      </c>
      <c r="P1245">
        <v>0</v>
      </c>
      <c r="Q1245">
        <v>0</v>
      </c>
      <c r="R1245" s="1">
        <v>46195.689351851855</v>
      </c>
      <c r="S1245" s="1">
        <v>46206.364479166667</v>
      </c>
    </row>
    <row r="1246" spans="1:19" x14ac:dyDescent="0.25">
      <c r="A1246">
        <v>2100112217</v>
      </c>
      <c r="B1246" t="s">
        <v>28</v>
      </c>
      <c r="C1246" t="s">
        <v>29</v>
      </c>
      <c r="D1246" t="s">
        <v>2821</v>
      </c>
      <c r="E1246" t="s">
        <v>2822</v>
      </c>
      <c r="F1246" t="e">
        <f>--ds-btn-size-large-corner-radius-top-right</f>
        <v>#NAME?</v>
      </c>
      <c r="G1246" t="s">
        <v>82</v>
      </c>
      <c r="H1246" t="s">
        <v>82</v>
      </c>
      <c r="I1246" t="s">
        <v>32</v>
      </c>
      <c r="J1246" t="s">
        <v>69</v>
      </c>
      <c r="K1246" t="s">
        <v>844</v>
      </c>
      <c r="L1246" t="s">
        <v>2785</v>
      </c>
      <c r="M1246" t="s">
        <v>2733</v>
      </c>
      <c r="N1246" t="s">
        <v>2786</v>
      </c>
      <c r="O1246">
        <v>1</v>
      </c>
      <c r="P1246">
        <v>0</v>
      </c>
      <c r="Q1246">
        <v>0</v>
      </c>
      <c r="R1246" s="1">
        <v>46195.689351851855</v>
      </c>
      <c r="S1246" s="1">
        <v>46206.364479166667</v>
      </c>
    </row>
    <row r="1247" spans="1:19" x14ac:dyDescent="0.25">
      <c r="A1247">
        <v>2100112218</v>
      </c>
      <c r="B1247" t="s">
        <v>28</v>
      </c>
      <c r="C1247" t="s">
        <v>29</v>
      </c>
      <c r="D1247" t="s">
        <v>2823</v>
      </c>
      <c r="E1247" t="s">
        <v>2824</v>
      </c>
      <c r="F1247" t="e">
        <f>--ds-btn-size-large-corner-radius-bottom-left</f>
        <v>#NAME?</v>
      </c>
      <c r="G1247" t="s">
        <v>82</v>
      </c>
      <c r="H1247" t="s">
        <v>82</v>
      </c>
      <c r="I1247" t="s">
        <v>32</v>
      </c>
      <c r="J1247" t="s">
        <v>69</v>
      </c>
      <c r="K1247" t="s">
        <v>844</v>
      </c>
      <c r="L1247" t="s">
        <v>2785</v>
      </c>
      <c r="M1247" t="s">
        <v>2736</v>
      </c>
      <c r="N1247" t="s">
        <v>2786</v>
      </c>
      <c r="O1247">
        <v>1</v>
      </c>
      <c r="P1247">
        <v>0</v>
      </c>
      <c r="Q1247">
        <v>0</v>
      </c>
      <c r="R1247" s="1">
        <v>46195.689351851855</v>
      </c>
      <c r="S1247" s="1">
        <v>46206.364479166667</v>
      </c>
    </row>
    <row r="1248" spans="1:19" x14ac:dyDescent="0.25">
      <c r="A1248">
        <v>2100112219</v>
      </c>
      <c r="B1248" t="s">
        <v>28</v>
      </c>
      <c r="C1248" t="s">
        <v>29</v>
      </c>
      <c r="D1248" t="s">
        <v>2825</v>
      </c>
      <c r="E1248" t="s">
        <v>2826</v>
      </c>
      <c r="F1248" t="e">
        <f>--ds-btn-size-large-corner-radius-bottom-right</f>
        <v>#NAME?</v>
      </c>
      <c r="G1248" t="s">
        <v>82</v>
      </c>
      <c r="H1248" t="s">
        <v>82</v>
      </c>
      <c r="I1248" t="s">
        <v>32</v>
      </c>
      <c r="J1248" t="s">
        <v>69</v>
      </c>
      <c r="K1248" t="s">
        <v>844</v>
      </c>
      <c r="L1248" t="s">
        <v>2785</v>
      </c>
      <c r="M1248" t="s">
        <v>2739</v>
      </c>
      <c r="N1248" t="s">
        <v>2786</v>
      </c>
      <c r="O1248">
        <v>1</v>
      </c>
      <c r="P1248">
        <v>0</v>
      </c>
      <c r="Q1248">
        <v>0</v>
      </c>
      <c r="R1248" s="1">
        <v>46195.689351851855</v>
      </c>
      <c r="S1248" s="1">
        <v>46206.364479166667</v>
      </c>
    </row>
    <row r="1249" spans="1:19" x14ac:dyDescent="0.25">
      <c r="A1249">
        <v>2100112300</v>
      </c>
      <c r="B1249" t="s">
        <v>28</v>
      </c>
      <c r="C1249" t="s">
        <v>29</v>
      </c>
      <c r="D1249" t="s">
        <v>2827</v>
      </c>
      <c r="E1249" t="s">
        <v>2828</v>
      </c>
      <c r="F1249" t="e">
        <f>--ds-btn-size-xl-font-size</f>
        <v>#NAME?</v>
      </c>
      <c r="G1249" t="s">
        <v>2829</v>
      </c>
      <c r="H1249" t="s">
        <v>2829</v>
      </c>
      <c r="I1249" t="s">
        <v>32</v>
      </c>
      <c r="J1249" t="s">
        <v>2560</v>
      </c>
      <c r="K1249" t="s">
        <v>844</v>
      </c>
      <c r="L1249" t="s">
        <v>2830</v>
      </c>
      <c r="M1249" t="s">
        <v>2561</v>
      </c>
      <c r="N1249" t="s">
        <v>2831</v>
      </c>
      <c r="O1249">
        <v>1</v>
      </c>
      <c r="P1249">
        <v>1</v>
      </c>
      <c r="Q1249">
        <v>0</v>
      </c>
      <c r="R1249" s="1">
        <v>46195.689918981479</v>
      </c>
      <c r="S1249" s="1">
        <v>46206.364479166667</v>
      </c>
    </row>
    <row r="1250" spans="1:19" x14ac:dyDescent="0.25">
      <c r="A1250">
        <v>2100112301</v>
      </c>
      <c r="B1250" t="s">
        <v>28</v>
      </c>
      <c r="C1250" t="s">
        <v>29</v>
      </c>
      <c r="D1250" t="s">
        <v>2832</v>
      </c>
      <c r="E1250" t="s">
        <v>2833</v>
      </c>
      <c r="F1250" t="e">
        <f>--ds-btn-size-xl-line-height</f>
        <v>#NAME?</v>
      </c>
      <c r="G1250">
        <v>1.35</v>
      </c>
      <c r="H1250">
        <v>1.35</v>
      </c>
      <c r="I1250" t="s">
        <v>32</v>
      </c>
      <c r="J1250" t="s">
        <v>2560</v>
      </c>
      <c r="K1250" t="s">
        <v>844</v>
      </c>
      <c r="L1250" t="s">
        <v>2830</v>
      </c>
      <c r="M1250" t="s">
        <v>109</v>
      </c>
      <c r="N1250" t="s">
        <v>2831</v>
      </c>
      <c r="O1250">
        <v>1</v>
      </c>
      <c r="P1250">
        <v>1</v>
      </c>
      <c r="Q1250">
        <v>0</v>
      </c>
      <c r="R1250" s="1">
        <v>46195.689918981479</v>
      </c>
      <c r="S1250" s="1">
        <v>46206.364479166667</v>
      </c>
    </row>
    <row r="1251" spans="1:19" x14ac:dyDescent="0.25">
      <c r="A1251">
        <v>2100112302</v>
      </c>
      <c r="B1251" t="s">
        <v>28</v>
      </c>
      <c r="C1251" t="s">
        <v>29</v>
      </c>
      <c r="D1251" t="s">
        <v>2834</v>
      </c>
      <c r="E1251" t="s">
        <v>2835</v>
      </c>
      <c r="F1251" t="e">
        <f>--ds-btn-size-xl-padding-x</f>
        <v>#NAME?</v>
      </c>
      <c r="G1251" t="s">
        <v>2800</v>
      </c>
      <c r="H1251" t="s">
        <v>2800</v>
      </c>
      <c r="I1251" t="s">
        <v>32</v>
      </c>
      <c r="J1251" t="s">
        <v>78</v>
      </c>
      <c r="K1251" t="s">
        <v>844</v>
      </c>
      <c r="L1251" t="s">
        <v>2830</v>
      </c>
      <c r="M1251" t="s">
        <v>79</v>
      </c>
      <c r="N1251" t="s">
        <v>2831</v>
      </c>
      <c r="O1251">
        <v>1</v>
      </c>
      <c r="P1251">
        <v>1</v>
      </c>
      <c r="Q1251">
        <v>0</v>
      </c>
      <c r="R1251" s="1">
        <v>46195.689918981479</v>
      </c>
      <c r="S1251" s="1">
        <v>46206.364479166667</v>
      </c>
    </row>
    <row r="1252" spans="1:19" x14ac:dyDescent="0.25">
      <c r="A1252">
        <v>2100112303</v>
      </c>
      <c r="B1252" t="s">
        <v>28</v>
      </c>
      <c r="C1252" t="s">
        <v>29</v>
      </c>
      <c r="D1252" t="s">
        <v>2836</v>
      </c>
      <c r="E1252" t="s">
        <v>2837</v>
      </c>
      <c r="F1252" t="e">
        <f>--ds-btn-size-xl-padding-y</f>
        <v>#NAME?</v>
      </c>
      <c r="G1252" t="s">
        <v>77</v>
      </c>
      <c r="H1252" t="s">
        <v>77</v>
      </c>
      <c r="I1252" t="s">
        <v>32</v>
      </c>
      <c r="J1252" t="s">
        <v>78</v>
      </c>
      <c r="K1252" t="s">
        <v>844</v>
      </c>
      <c r="L1252" t="s">
        <v>2830</v>
      </c>
      <c r="M1252" t="s">
        <v>83</v>
      </c>
      <c r="N1252" t="s">
        <v>2831</v>
      </c>
      <c r="O1252">
        <v>1</v>
      </c>
      <c r="P1252">
        <v>1</v>
      </c>
      <c r="Q1252">
        <v>0</v>
      </c>
      <c r="R1252" s="1">
        <v>46195.689918981479</v>
      </c>
      <c r="S1252" s="1">
        <v>46206.364479166667</v>
      </c>
    </row>
    <row r="1253" spans="1:19" x14ac:dyDescent="0.25">
      <c r="A1253">
        <v>2100112304</v>
      </c>
      <c r="B1253" t="s">
        <v>28</v>
      </c>
      <c r="C1253" t="s">
        <v>29</v>
      </c>
      <c r="D1253" t="s">
        <v>2838</v>
      </c>
      <c r="E1253" t="s">
        <v>2839</v>
      </c>
      <c r="F1253" t="e">
        <f>--ds-btn-size-xl-border-radius</f>
        <v>#NAME?</v>
      </c>
      <c r="G1253" t="s">
        <v>2793</v>
      </c>
      <c r="H1253" t="s">
        <v>2793</v>
      </c>
      <c r="I1253" t="s">
        <v>32</v>
      </c>
      <c r="J1253" t="s">
        <v>69</v>
      </c>
      <c r="K1253" t="s">
        <v>844</v>
      </c>
      <c r="L1253" t="s">
        <v>2830</v>
      </c>
      <c r="M1253" t="s">
        <v>2698</v>
      </c>
      <c r="N1253" t="s">
        <v>2831</v>
      </c>
      <c r="O1253">
        <v>1</v>
      </c>
      <c r="P1253">
        <v>1</v>
      </c>
      <c r="Q1253">
        <v>0</v>
      </c>
      <c r="R1253" s="1">
        <v>46195.689918981479</v>
      </c>
      <c r="S1253" s="1">
        <v>46206.364479166667</v>
      </c>
    </row>
    <row r="1254" spans="1:19" x14ac:dyDescent="0.25">
      <c r="A1254">
        <v>2100112305</v>
      </c>
      <c r="B1254" t="s">
        <v>28</v>
      </c>
      <c r="C1254" t="s">
        <v>29</v>
      </c>
      <c r="D1254" t="s">
        <v>2840</v>
      </c>
      <c r="E1254" t="s">
        <v>2841</v>
      </c>
      <c r="F1254" t="e">
        <f>--ds-btn-size-xl-gap</f>
        <v>#NAME?</v>
      </c>
      <c r="G1254" t="s">
        <v>2793</v>
      </c>
      <c r="H1254" t="s">
        <v>2793</v>
      </c>
      <c r="I1254" t="s">
        <v>32</v>
      </c>
      <c r="J1254" t="s">
        <v>78</v>
      </c>
      <c r="K1254" t="s">
        <v>844</v>
      </c>
      <c r="L1254" t="s">
        <v>2830</v>
      </c>
      <c r="M1254" t="s">
        <v>87</v>
      </c>
      <c r="N1254" t="s">
        <v>2831</v>
      </c>
      <c r="O1254">
        <v>1</v>
      </c>
      <c r="P1254">
        <v>1</v>
      </c>
      <c r="Q1254">
        <v>0</v>
      </c>
      <c r="R1254" s="1">
        <v>46195.689918981479</v>
      </c>
      <c r="S1254" s="1">
        <v>46206.364479166667</v>
      </c>
    </row>
    <row r="1255" spans="1:19" x14ac:dyDescent="0.25">
      <c r="A1255">
        <v>2100112306</v>
      </c>
      <c r="B1255" t="s">
        <v>28</v>
      </c>
      <c r="C1255" t="s">
        <v>29</v>
      </c>
      <c r="D1255" t="s">
        <v>2842</v>
      </c>
      <c r="E1255" t="s">
        <v>2843</v>
      </c>
      <c r="F1255" t="e">
        <f>--ds-btn-size-xl-icon-size</f>
        <v>#NAME?</v>
      </c>
      <c r="G1255" t="s">
        <v>2844</v>
      </c>
      <c r="H1255" t="s">
        <v>2844</v>
      </c>
      <c r="I1255" t="s">
        <v>32</v>
      </c>
      <c r="J1255" t="s">
        <v>78</v>
      </c>
      <c r="K1255" t="s">
        <v>844</v>
      </c>
      <c r="L1255" t="s">
        <v>2830</v>
      </c>
      <c r="M1255" t="s">
        <v>106</v>
      </c>
      <c r="N1255" t="s">
        <v>2831</v>
      </c>
      <c r="O1255">
        <v>1</v>
      </c>
      <c r="P1255">
        <v>1</v>
      </c>
      <c r="Q1255">
        <v>0</v>
      </c>
      <c r="R1255" s="1">
        <v>46195.689918981479</v>
      </c>
      <c r="S1255" s="1">
        <v>46206.364479166667</v>
      </c>
    </row>
    <row r="1256" spans="1:19" x14ac:dyDescent="0.25">
      <c r="A1256">
        <v>2100112307</v>
      </c>
      <c r="B1256" t="s">
        <v>28</v>
      </c>
      <c r="C1256" t="s">
        <v>29</v>
      </c>
      <c r="D1256" t="s">
        <v>2845</v>
      </c>
      <c r="E1256" t="s">
        <v>2846</v>
      </c>
      <c r="F1256" t="e">
        <f>--ds-btn-size-xl-spinner-size</f>
        <v>#NAME?</v>
      </c>
      <c r="G1256" t="s">
        <v>2844</v>
      </c>
      <c r="H1256" t="s">
        <v>2844</v>
      </c>
      <c r="I1256" t="s">
        <v>32</v>
      </c>
      <c r="J1256" t="s">
        <v>78</v>
      </c>
      <c r="K1256" t="s">
        <v>844</v>
      </c>
      <c r="L1256" t="s">
        <v>2830</v>
      </c>
      <c r="M1256" t="s">
        <v>1860</v>
      </c>
      <c r="N1256" t="s">
        <v>2831</v>
      </c>
      <c r="O1256">
        <v>1</v>
      </c>
      <c r="P1256">
        <v>1</v>
      </c>
      <c r="Q1256">
        <v>0</v>
      </c>
      <c r="R1256" s="1">
        <v>46195.689918981479</v>
      </c>
      <c r="S1256" s="1">
        <v>46206.364479166667</v>
      </c>
    </row>
    <row r="1257" spans="1:19" x14ac:dyDescent="0.25">
      <c r="A1257">
        <v>2100112308</v>
      </c>
      <c r="B1257" t="s">
        <v>28</v>
      </c>
      <c r="C1257" t="s">
        <v>29</v>
      </c>
      <c r="D1257" t="s">
        <v>2847</v>
      </c>
      <c r="E1257" t="s">
        <v>2848</v>
      </c>
      <c r="F1257" t="e">
        <f>--ds-btn-size-xl-min-width</f>
        <v>#NAME?</v>
      </c>
      <c r="G1257" t="s">
        <v>2708</v>
      </c>
      <c r="H1257" t="s">
        <v>2708</v>
      </c>
      <c r="I1257" t="s">
        <v>32</v>
      </c>
      <c r="J1257" t="s">
        <v>78</v>
      </c>
      <c r="K1257" t="s">
        <v>844</v>
      </c>
      <c r="L1257" t="s">
        <v>2830</v>
      </c>
      <c r="M1257" t="s">
        <v>2709</v>
      </c>
      <c r="N1257" t="s">
        <v>2831</v>
      </c>
      <c r="O1257">
        <v>1</v>
      </c>
      <c r="P1257">
        <v>1</v>
      </c>
      <c r="Q1257">
        <v>0</v>
      </c>
      <c r="R1257" s="1">
        <v>46195.689918981479</v>
      </c>
      <c r="S1257" s="1">
        <v>46206.364479166667</v>
      </c>
    </row>
    <row r="1258" spans="1:19" x14ac:dyDescent="0.25">
      <c r="A1258">
        <v>2100112309</v>
      </c>
      <c r="B1258" t="s">
        <v>28</v>
      </c>
      <c r="C1258" t="s">
        <v>29</v>
      </c>
      <c r="D1258" t="s">
        <v>2849</v>
      </c>
      <c r="E1258" t="s">
        <v>2850</v>
      </c>
      <c r="F1258" t="e">
        <f>--ds-btn-size-xl-height</f>
        <v>#NAME?</v>
      </c>
      <c r="G1258" t="s">
        <v>2708</v>
      </c>
      <c r="H1258" t="s">
        <v>2708</v>
      </c>
      <c r="I1258" t="s">
        <v>32</v>
      </c>
      <c r="J1258" t="s">
        <v>78</v>
      </c>
      <c r="K1258" t="s">
        <v>844</v>
      </c>
      <c r="L1258" t="s">
        <v>2830</v>
      </c>
      <c r="M1258" t="s">
        <v>2712</v>
      </c>
      <c r="N1258" t="s">
        <v>2831</v>
      </c>
      <c r="O1258">
        <v>1</v>
      </c>
      <c r="P1258">
        <v>1</v>
      </c>
      <c r="Q1258">
        <v>0</v>
      </c>
      <c r="R1258" s="1">
        <v>46195.689918981479</v>
      </c>
      <c r="S1258" s="1">
        <v>46206.364479166667</v>
      </c>
    </row>
    <row r="1259" spans="1:19" x14ac:dyDescent="0.25">
      <c r="A1259">
        <v>2100112310</v>
      </c>
      <c r="B1259" t="s">
        <v>28</v>
      </c>
      <c r="C1259" t="s">
        <v>29</v>
      </c>
      <c r="D1259" t="s">
        <v>2851</v>
      </c>
      <c r="E1259" t="s">
        <v>2852</v>
      </c>
      <c r="F1259" t="e">
        <f>--ds-btn-size-xl-font-weight</f>
        <v>#NAME?</v>
      </c>
      <c r="G1259">
        <v>600</v>
      </c>
      <c r="H1259">
        <v>600</v>
      </c>
      <c r="I1259" t="s">
        <v>32</v>
      </c>
      <c r="J1259" t="s">
        <v>2560</v>
      </c>
      <c r="K1259" t="s">
        <v>844</v>
      </c>
      <c r="L1259" t="s">
        <v>2830</v>
      </c>
      <c r="M1259" t="s">
        <v>2564</v>
      </c>
      <c r="N1259" t="s">
        <v>2831</v>
      </c>
      <c r="O1259">
        <v>1</v>
      </c>
      <c r="P1259">
        <v>0</v>
      </c>
      <c r="Q1259">
        <v>0</v>
      </c>
      <c r="R1259" s="1">
        <v>46195.689918981479</v>
      </c>
      <c r="S1259" s="1">
        <v>46206.364479166667</v>
      </c>
    </row>
    <row r="1260" spans="1:19" x14ac:dyDescent="0.25">
      <c r="A1260">
        <v>2100112311</v>
      </c>
      <c r="B1260" t="s">
        <v>28</v>
      </c>
      <c r="C1260" t="s">
        <v>29</v>
      </c>
      <c r="D1260" t="s">
        <v>2853</v>
      </c>
      <c r="E1260" t="s">
        <v>2854</v>
      </c>
      <c r="F1260" t="e">
        <f>--ds-btn-size-xl-letter-spacing</f>
        <v>#NAME?</v>
      </c>
      <c r="G1260">
        <v>0</v>
      </c>
      <c r="H1260">
        <v>0</v>
      </c>
      <c r="I1260" t="s">
        <v>32</v>
      </c>
      <c r="J1260" t="s">
        <v>2560</v>
      </c>
      <c r="K1260" t="s">
        <v>844</v>
      </c>
      <c r="L1260" t="s">
        <v>2830</v>
      </c>
      <c r="M1260" t="s">
        <v>2717</v>
      </c>
      <c r="N1260" t="s">
        <v>2831</v>
      </c>
      <c r="O1260">
        <v>1</v>
      </c>
      <c r="P1260">
        <v>0</v>
      </c>
      <c r="Q1260">
        <v>0</v>
      </c>
      <c r="R1260" s="1">
        <v>46195.689918981479</v>
      </c>
      <c r="S1260" s="1">
        <v>46206.364479166667</v>
      </c>
    </row>
    <row r="1261" spans="1:19" x14ac:dyDescent="0.25">
      <c r="A1261">
        <v>2100112312</v>
      </c>
      <c r="B1261" t="s">
        <v>28</v>
      </c>
      <c r="C1261" t="s">
        <v>29</v>
      </c>
      <c r="D1261" t="s">
        <v>2855</v>
      </c>
      <c r="E1261" t="s">
        <v>2856</v>
      </c>
      <c r="F1261" t="e">
        <f>--ds-btn-size-xl-text-transform</f>
        <v>#NAME?</v>
      </c>
      <c r="G1261" t="s">
        <v>94</v>
      </c>
      <c r="H1261" t="s">
        <v>94</v>
      </c>
      <c r="I1261" t="s">
        <v>32</v>
      </c>
      <c r="J1261" t="s">
        <v>2560</v>
      </c>
      <c r="K1261" t="s">
        <v>844</v>
      </c>
      <c r="L1261" t="s">
        <v>2830</v>
      </c>
      <c r="M1261" t="s">
        <v>2720</v>
      </c>
      <c r="N1261" t="s">
        <v>2831</v>
      </c>
      <c r="O1261">
        <v>1</v>
      </c>
      <c r="P1261">
        <v>0</v>
      </c>
      <c r="Q1261">
        <v>0</v>
      </c>
      <c r="R1261" s="1">
        <v>46195.689918981479</v>
      </c>
      <c r="S1261" s="1">
        <v>46206.364479166667</v>
      </c>
    </row>
    <row r="1262" spans="1:19" x14ac:dyDescent="0.25">
      <c r="A1262">
        <v>2100112313</v>
      </c>
      <c r="B1262" t="s">
        <v>28</v>
      </c>
      <c r="C1262" t="s">
        <v>29</v>
      </c>
      <c r="D1262" t="s">
        <v>2857</v>
      </c>
      <c r="E1262" t="s">
        <v>2858</v>
      </c>
      <c r="F1262" t="e">
        <f>--ds-btn-size-xl-outline</f>
        <v>#NAME?</v>
      </c>
      <c r="G1262" t="s">
        <v>94</v>
      </c>
      <c r="H1262" t="s">
        <v>94</v>
      </c>
      <c r="I1262" t="s">
        <v>32</v>
      </c>
      <c r="J1262" t="s">
        <v>69</v>
      </c>
      <c r="K1262" t="s">
        <v>844</v>
      </c>
      <c r="L1262" t="s">
        <v>2830</v>
      </c>
      <c r="M1262" t="s">
        <v>95</v>
      </c>
      <c r="N1262" t="s">
        <v>2831</v>
      </c>
      <c r="O1262">
        <v>1</v>
      </c>
      <c r="P1262">
        <v>0</v>
      </c>
      <c r="Q1262">
        <v>0</v>
      </c>
      <c r="R1262" s="1">
        <v>46195.689918981479</v>
      </c>
      <c r="S1262" s="1">
        <v>46206.364479166667</v>
      </c>
    </row>
    <row r="1263" spans="1:19" x14ac:dyDescent="0.25">
      <c r="A1263">
        <v>2100112314</v>
      </c>
      <c r="B1263" t="s">
        <v>28</v>
      </c>
      <c r="C1263" t="s">
        <v>29</v>
      </c>
      <c r="D1263" t="s">
        <v>2859</v>
      </c>
      <c r="E1263" t="s">
        <v>2860</v>
      </c>
      <c r="F1263" t="e">
        <f>--ds-btn-size-xl-transition</f>
        <v>#NAME?</v>
      </c>
      <c r="G1263" t="s">
        <v>98</v>
      </c>
      <c r="H1263" t="s">
        <v>98</v>
      </c>
      <c r="I1263" t="s">
        <v>32</v>
      </c>
      <c r="J1263" t="s">
        <v>69</v>
      </c>
      <c r="K1263" t="s">
        <v>844</v>
      </c>
      <c r="L1263" t="s">
        <v>2830</v>
      </c>
      <c r="M1263" t="s">
        <v>99</v>
      </c>
      <c r="N1263" t="s">
        <v>2831</v>
      </c>
      <c r="O1263">
        <v>1</v>
      </c>
      <c r="P1263">
        <v>0</v>
      </c>
      <c r="Q1263">
        <v>0</v>
      </c>
      <c r="R1263" s="1">
        <v>46195.689918981479</v>
      </c>
      <c r="S1263" s="1">
        <v>46206.364479166667</v>
      </c>
    </row>
    <row r="1264" spans="1:19" x14ac:dyDescent="0.25">
      <c r="A1264">
        <v>2100112315</v>
      </c>
      <c r="B1264" t="s">
        <v>28</v>
      </c>
      <c r="C1264" t="s">
        <v>29</v>
      </c>
      <c r="D1264" t="s">
        <v>2861</v>
      </c>
      <c r="E1264" t="s">
        <v>2862</v>
      </c>
      <c r="F1264" t="e">
        <f>--ds-btn-size-xl-focus-ring</f>
        <v>#NAME?</v>
      </c>
      <c r="G1264" t="s">
        <v>2727</v>
      </c>
      <c r="H1264" t="s">
        <v>2727</v>
      </c>
      <c r="I1264" t="s">
        <v>32</v>
      </c>
      <c r="J1264" t="s">
        <v>69</v>
      </c>
      <c r="K1264" t="s">
        <v>844</v>
      </c>
      <c r="L1264" t="s">
        <v>2830</v>
      </c>
      <c r="M1264" t="s">
        <v>91</v>
      </c>
      <c r="N1264" t="s">
        <v>2831</v>
      </c>
      <c r="O1264">
        <v>1</v>
      </c>
      <c r="P1264">
        <v>0</v>
      </c>
      <c r="Q1264">
        <v>0</v>
      </c>
      <c r="R1264" s="1">
        <v>46195.689918981479</v>
      </c>
      <c r="S1264" s="1">
        <v>46206.364479166667</v>
      </c>
    </row>
    <row r="1265" spans="1:19" x14ac:dyDescent="0.25">
      <c r="A1265">
        <v>2100112316</v>
      </c>
      <c r="B1265" t="s">
        <v>28</v>
      </c>
      <c r="C1265" t="s">
        <v>29</v>
      </c>
      <c r="D1265" t="s">
        <v>2863</v>
      </c>
      <c r="E1265" t="s">
        <v>2864</v>
      </c>
      <c r="F1265" t="e">
        <f>--ds-btn-size-xl-corner-radius-top-left</f>
        <v>#NAME?</v>
      </c>
      <c r="G1265" t="s">
        <v>2793</v>
      </c>
      <c r="H1265" t="s">
        <v>2793</v>
      </c>
      <c r="I1265" t="s">
        <v>32</v>
      </c>
      <c r="J1265" t="s">
        <v>69</v>
      </c>
      <c r="K1265" t="s">
        <v>844</v>
      </c>
      <c r="L1265" t="s">
        <v>2830</v>
      </c>
      <c r="M1265" t="s">
        <v>2730</v>
      </c>
      <c r="N1265" t="s">
        <v>2831</v>
      </c>
      <c r="O1265">
        <v>1</v>
      </c>
      <c r="P1265">
        <v>0</v>
      </c>
      <c r="Q1265">
        <v>0</v>
      </c>
      <c r="R1265" s="1">
        <v>46195.689918981479</v>
      </c>
      <c r="S1265" s="1">
        <v>46206.364479166667</v>
      </c>
    </row>
    <row r="1266" spans="1:19" x14ac:dyDescent="0.25">
      <c r="A1266">
        <v>2100112317</v>
      </c>
      <c r="B1266" t="s">
        <v>28</v>
      </c>
      <c r="C1266" t="s">
        <v>29</v>
      </c>
      <c r="D1266" t="s">
        <v>2865</v>
      </c>
      <c r="E1266" t="s">
        <v>2866</v>
      </c>
      <c r="F1266" t="e">
        <f>--ds-btn-size-xl-corner-radius-top-right</f>
        <v>#NAME?</v>
      </c>
      <c r="G1266" t="s">
        <v>2793</v>
      </c>
      <c r="H1266" t="s">
        <v>2793</v>
      </c>
      <c r="I1266" t="s">
        <v>32</v>
      </c>
      <c r="J1266" t="s">
        <v>69</v>
      </c>
      <c r="K1266" t="s">
        <v>844</v>
      </c>
      <c r="L1266" t="s">
        <v>2830</v>
      </c>
      <c r="M1266" t="s">
        <v>2733</v>
      </c>
      <c r="N1266" t="s">
        <v>2831</v>
      </c>
      <c r="O1266">
        <v>1</v>
      </c>
      <c r="P1266">
        <v>0</v>
      </c>
      <c r="Q1266">
        <v>0</v>
      </c>
      <c r="R1266" s="1">
        <v>46195.689918981479</v>
      </c>
      <c r="S1266" s="1">
        <v>46206.364479166667</v>
      </c>
    </row>
    <row r="1267" spans="1:19" x14ac:dyDescent="0.25">
      <c r="A1267">
        <v>2100112318</v>
      </c>
      <c r="B1267" t="s">
        <v>28</v>
      </c>
      <c r="C1267" t="s">
        <v>29</v>
      </c>
      <c r="D1267" t="s">
        <v>2867</v>
      </c>
      <c r="E1267" t="s">
        <v>2868</v>
      </c>
      <c r="F1267" t="e">
        <f>--ds-btn-size-xl-corner-radius-bottom-left</f>
        <v>#NAME?</v>
      </c>
      <c r="G1267" t="s">
        <v>2793</v>
      </c>
      <c r="H1267" t="s">
        <v>2793</v>
      </c>
      <c r="I1267" t="s">
        <v>32</v>
      </c>
      <c r="J1267" t="s">
        <v>69</v>
      </c>
      <c r="K1267" t="s">
        <v>844</v>
      </c>
      <c r="L1267" t="s">
        <v>2830</v>
      </c>
      <c r="M1267" t="s">
        <v>2736</v>
      </c>
      <c r="N1267" t="s">
        <v>2831</v>
      </c>
      <c r="O1267">
        <v>1</v>
      </c>
      <c r="P1267">
        <v>0</v>
      </c>
      <c r="Q1267">
        <v>0</v>
      </c>
      <c r="R1267" s="1">
        <v>46195.689918981479</v>
      </c>
      <c r="S1267" s="1">
        <v>46206.364479166667</v>
      </c>
    </row>
    <row r="1268" spans="1:19" x14ac:dyDescent="0.25">
      <c r="A1268">
        <v>2100112319</v>
      </c>
      <c r="B1268" t="s">
        <v>28</v>
      </c>
      <c r="C1268" t="s">
        <v>29</v>
      </c>
      <c r="D1268" t="s">
        <v>2869</v>
      </c>
      <c r="E1268" t="s">
        <v>2870</v>
      </c>
      <c r="F1268" t="e">
        <f>--ds-btn-size-xl-corner-radius-bottom-right</f>
        <v>#NAME?</v>
      </c>
      <c r="G1268" t="s">
        <v>2793</v>
      </c>
      <c r="H1268" t="s">
        <v>2793</v>
      </c>
      <c r="I1268" t="s">
        <v>32</v>
      </c>
      <c r="J1268" t="s">
        <v>69</v>
      </c>
      <c r="K1268" t="s">
        <v>844</v>
      </c>
      <c r="L1268" t="s">
        <v>2830</v>
      </c>
      <c r="M1268" t="s">
        <v>2739</v>
      </c>
      <c r="N1268" t="s">
        <v>2831</v>
      </c>
      <c r="O1268">
        <v>1</v>
      </c>
      <c r="P1268">
        <v>0</v>
      </c>
      <c r="Q1268">
        <v>0</v>
      </c>
      <c r="R1268" s="1">
        <v>46195.689918981479</v>
      </c>
      <c r="S1268" s="1">
        <v>46206.364479166667</v>
      </c>
    </row>
    <row r="1269" spans="1:19" x14ac:dyDescent="0.25">
      <c r="A1269">
        <v>2100113000</v>
      </c>
      <c r="B1269" t="s">
        <v>28</v>
      </c>
      <c r="C1269" t="s">
        <v>29</v>
      </c>
      <c r="D1269" t="s">
        <v>2871</v>
      </c>
      <c r="E1269" t="s">
        <v>2872</v>
      </c>
      <c r="F1269" t="e">
        <f>--ds-btn-group-primary-group-bg</f>
        <v>#NAME?</v>
      </c>
      <c r="G1269" t="s">
        <v>112</v>
      </c>
      <c r="H1269" t="s">
        <v>112</v>
      </c>
      <c r="I1269" t="s">
        <v>32</v>
      </c>
      <c r="J1269" t="s">
        <v>78</v>
      </c>
      <c r="K1269" t="s">
        <v>2873</v>
      </c>
      <c r="L1269" t="s">
        <v>25</v>
      </c>
      <c r="M1269" t="s">
        <v>2874</v>
      </c>
      <c r="N1269" t="s">
        <v>2875</v>
      </c>
      <c r="O1269">
        <v>1</v>
      </c>
      <c r="P1269">
        <v>0</v>
      </c>
      <c r="Q1269">
        <v>0</v>
      </c>
      <c r="R1269" s="1">
        <v>46206.650196759256</v>
      </c>
      <c r="S1269" s="1">
        <v>46206.650196759256</v>
      </c>
    </row>
    <row r="1270" spans="1:19" x14ac:dyDescent="0.25">
      <c r="A1270">
        <v>2100113001</v>
      </c>
      <c r="B1270" t="s">
        <v>28</v>
      </c>
      <c r="C1270" t="s">
        <v>29</v>
      </c>
      <c r="D1270" t="s">
        <v>2876</v>
      </c>
      <c r="E1270" t="s">
        <v>2877</v>
      </c>
      <c r="F1270" t="e">
        <f>--ds-btn-group-primary-group-border</f>
        <v>#NAME?</v>
      </c>
      <c r="G1270" t="s">
        <v>120</v>
      </c>
      <c r="H1270" t="s">
        <v>120</v>
      </c>
      <c r="I1270" t="s">
        <v>32</v>
      </c>
      <c r="J1270" t="s">
        <v>78</v>
      </c>
      <c r="K1270" t="s">
        <v>2873</v>
      </c>
      <c r="L1270" t="s">
        <v>25</v>
      </c>
      <c r="M1270" t="s">
        <v>2878</v>
      </c>
      <c r="N1270" t="s">
        <v>2875</v>
      </c>
      <c r="O1270">
        <v>1</v>
      </c>
      <c r="P1270">
        <v>0</v>
      </c>
      <c r="Q1270">
        <v>0</v>
      </c>
      <c r="R1270" s="1">
        <v>46206.650196759256</v>
      </c>
      <c r="S1270" s="1">
        <v>46206.650196759256</v>
      </c>
    </row>
    <row r="1271" spans="1:19" x14ac:dyDescent="0.25">
      <c r="A1271">
        <v>2100113002</v>
      </c>
      <c r="B1271" t="s">
        <v>28</v>
      </c>
      <c r="C1271" t="s">
        <v>29</v>
      </c>
      <c r="D1271" t="s">
        <v>2879</v>
      </c>
      <c r="E1271" t="s">
        <v>2880</v>
      </c>
      <c r="F1271" t="e">
        <f>--ds-btn-group-primary-group-radius</f>
        <v>#NAME?</v>
      </c>
      <c r="G1271" t="s">
        <v>73</v>
      </c>
      <c r="H1271" t="s">
        <v>73</v>
      </c>
      <c r="I1271" t="s">
        <v>32</v>
      </c>
      <c r="J1271" t="s">
        <v>69</v>
      </c>
      <c r="K1271" t="s">
        <v>2873</v>
      </c>
      <c r="L1271" t="s">
        <v>25</v>
      </c>
      <c r="M1271" t="s">
        <v>2881</v>
      </c>
      <c r="N1271" t="s">
        <v>2875</v>
      </c>
      <c r="O1271">
        <v>1</v>
      </c>
      <c r="P1271">
        <v>0</v>
      </c>
      <c r="Q1271">
        <v>0</v>
      </c>
      <c r="R1271" s="1">
        <v>46206.650196759256</v>
      </c>
      <c r="S1271" s="1">
        <v>46206.650196759256</v>
      </c>
    </row>
    <row r="1272" spans="1:19" x14ac:dyDescent="0.25">
      <c r="A1272">
        <v>2100113003</v>
      </c>
      <c r="B1272" t="s">
        <v>28</v>
      </c>
      <c r="C1272" t="s">
        <v>29</v>
      </c>
      <c r="D1272" t="s">
        <v>2882</v>
      </c>
      <c r="E1272" t="s">
        <v>2883</v>
      </c>
      <c r="F1272" t="e">
        <f>--ds-btn-group-primary-group-padding-x</f>
        <v>#NAME?</v>
      </c>
      <c r="G1272" t="s">
        <v>2884</v>
      </c>
      <c r="H1272" t="s">
        <v>2884</v>
      </c>
      <c r="I1272" t="s">
        <v>32</v>
      </c>
      <c r="J1272" t="s">
        <v>78</v>
      </c>
      <c r="K1272" t="s">
        <v>2873</v>
      </c>
      <c r="L1272" t="s">
        <v>25</v>
      </c>
      <c r="M1272" t="s">
        <v>2885</v>
      </c>
      <c r="N1272" t="s">
        <v>2875</v>
      </c>
      <c r="O1272">
        <v>1</v>
      </c>
      <c r="P1272">
        <v>0</v>
      </c>
      <c r="Q1272">
        <v>0</v>
      </c>
      <c r="R1272" s="1">
        <v>46206.650196759256</v>
      </c>
      <c r="S1272" s="1">
        <v>46206.650196759256</v>
      </c>
    </row>
    <row r="1273" spans="1:19" x14ac:dyDescent="0.25">
      <c r="A1273">
        <v>2100113004</v>
      </c>
      <c r="B1273" t="s">
        <v>28</v>
      </c>
      <c r="C1273" t="s">
        <v>29</v>
      </c>
      <c r="D1273" t="s">
        <v>2886</v>
      </c>
      <c r="E1273" t="s">
        <v>2887</v>
      </c>
      <c r="F1273" t="e">
        <f>--ds-btn-group-primary-group-padding-y</f>
        <v>#NAME?</v>
      </c>
      <c r="G1273" t="s">
        <v>2884</v>
      </c>
      <c r="H1273" t="s">
        <v>2884</v>
      </c>
      <c r="I1273" t="s">
        <v>32</v>
      </c>
      <c r="J1273" t="s">
        <v>78</v>
      </c>
      <c r="K1273" t="s">
        <v>2873</v>
      </c>
      <c r="L1273" t="s">
        <v>25</v>
      </c>
      <c r="M1273" t="s">
        <v>2888</v>
      </c>
      <c r="N1273" t="s">
        <v>2875</v>
      </c>
      <c r="O1273">
        <v>1</v>
      </c>
      <c r="P1273">
        <v>0</v>
      </c>
      <c r="Q1273">
        <v>0</v>
      </c>
      <c r="R1273" s="1">
        <v>46206.650196759256</v>
      </c>
      <c r="S1273" s="1">
        <v>46206.650196759256</v>
      </c>
    </row>
    <row r="1274" spans="1:19" x14ac:dyDescent="0.25">
      <c r="A1274">
        <v>2100113005</v>
      </c>
      <c r="B1274" t="s">
        <v>28</v>
      </c>
      <c r="C1274" t="s">
        <v>29</v>
      </c>
      <c r="D1274" t="s">
        <v>2889</v>
      </c>
      <c r="E1274" t="s">
        <v>2890</v>
      </c>
      <c r="F1274" t="e">
        <f>--ds-btn-group-primary-group-gap</f>
        <v>#NAME?</v>
      </c>
      <c r="G1274" t="s">
        <v>2884</v>
      </c>
      <c r="H1274" t="s">
        <v>2884</v>
      </c>
      <c r="I1274" t="s">
        <v>32</v>
      </c>
      <c r="J1274" t="s">
        <v>78</v>
      </c>
      <c r="K1274" t="s">
        <v>2873</v>
      </c>
      <c r="L1274" t="s">
        <v>25</v>
      </c>
      <c r="M1274" t="s">
        <v>2891</v>
      </c>
      <c r="N1274" t="s">
        <v>2875</v>
      </c>
      <c r="O1274">
        <v>1</v>
      </c>
      <c r="P1274">
        <v>0</v>
      </c>
      <c r="Q1274">
        <v>0</v>
      </c>
      <c r="R1274" s="1">
        <v>46206.650196759256</v>
      </c>
      <c r="S1274" s="1">
        <v>46206.650196759256</v>
      </c>
    </row>
    <row r="1275" spans="1:19" x14ac:dyDescent="0.25">
      <c r="A1275">
        <v>2100113006</v>
      </c>
      <c r="B1275" t="s">
        <v>28</v>
      </c>
      <c r="C1275" t="s">
        <v>29</v>
      </c>
      <c r="D1275" t="s">
        <v>2892</v>
      </c>
      <c r="E1275" t="s">
        <v>2893</v>
      </c>
      <c r="F1275" t="e">
        <f>--ds-btn-group-primary-active-bg</f>
        <v>#NAME?</v>
      </c>
      <c r="G1275" t="s">
        <v>23</v>
      </c>
      <c r="H1275" t="s">
        <v>23</v>
      </c>
      <c r="I1275" t="s">
        <v>32</v>
      </c>
      <c r="J1275" t="s">
        <v>24</v>
      </c>
      <c r="K1275" t="s">
        <v>2873</v>
      </c>
      <c r="L1275" t="s">
        <v>25</v>
      </c>
      <c r="M1275" t="s">
        <v>2894</v>
      </c>
      <c r="N1275" t="s">
        <v>2875</v>
      </c>
      <c r="O1275">
        <v>1</v>
      </c>
      <c r="P1275">
        <v>0</v>
      </c>
      <c r="Q1275">
        <v>0</v>
      </c>
      <c r="R1275" s="1">
        <v>46206.650196759256</v>
      </c>
      <c r="S1275" s="1">
        <v>46206.650196759256</v>
      </c>
    </row>
    <row r="1276" spans="1:19" x14ac:dyDescent="0.25">
      <c r="A1276">
        <v>2100113007</v>
      </c>
      <c r="B1276" t="s">
        <v>28</v>
      </c>
      <c r="C1276" t="s">
        <v>29</v>
      </c>
      <c r="D1276" t="s">
        <v>2895</v>
      </c>
      <c r="E1276" t="s">
        <v>2896</v>
      </c>
      <c r="F1276" t="e">
        <f>--ds-btn-group-primary-active-text</f>
        <v>#NAME?</v>
      </c>
      <c r="G1276" t="s">
        <v>37</v>
      </c>
      <c r="H1276" t="s">
        <v>37</v>
      </c>
      <c r="I1276" t="s">
        <v>32</v>
      </c>
      <c r="J1276" t="s">
        <v>24</v>
      </c>
      <c r="K1276" t="s">
        <v>2873</v>
      </c>
      <c r="L1276" t="s">
        <v>25</v>
      </c>
      <c r="M1276" t="s">
        <v>2897</v>
      </c>
      <c r="N1276" t="s">
        <v>2875</v>
      </c>
      <c r="O1276">
        <v>1</v>
      </c>
      <c r="P1276">
        <v>0</v>
      </c>
      <c r="Q1276">
        <v>0</v>
      </c>
      <c r="R1276" s="1">
        <v>46206.650196759256</v>
      </c>
      <c r="S1276" s="1">
        <v>46206.650196759256</v>
      </c>
    </row>
    <row r="1277" spans="1:19" x14ac:dyDescent="0.25">
      <c r="A1277">
        <v>2100113008</v>
      </c>
      <c r="B1277" t="s">
        <v>28</v>
      </c>
      <c r="C1277" t="s">
        <v>29</v>
      </c>
      <c r="D1277" t="s">
        <v>2898</v>
      </c>
      <c r="E1277" t="s">
        <v>2899</v>
      </c>
      <c r="F1277" t="e">
        <f>--ds-btn-group-primary-active-border</f>
        <v>#NAME?</v>
      </c>
      <c r="G1277" t="s">
        <v>41</v>
      </c>
      <c r="H1277" t="s">
        <v>41</v>
      </c>
      <c r="I1277" t="s">
        <v>32</v>
      </c>
      <c r="J1277" t="s">
        <v>24</v>
      </c>
      <c r="K1277" t="s">
        <v>2873</v>
      </c>
      <c r="L1277" t="s">
        <v>25</v>
      </c>
      <c r="M1277" t="s">
        <v>2900</v>
      </c>
      <c r="N1277" t="s">
        <v>2875</v>
      </c>
      <c r="O1277">
        <v>1</v>
      </c>
      <c r="P1277">
        <v>0</v>
      </c>
      <c r="Q1277">
        <v>0</v>
      </c>
      <c r="R1277" s="1">
        <v>46206.650196759256</v>
      </c>
      <c r="S1277" s="1">
        <v>46206.650196759256</v>
      </c>
    </row>
    <row r="1278" spans="1:19" x14ac:dyDescent="0.25">
      <c r="A1278">
        <v>2100113009</v>
      </c>
      <c r="B1278" t="s">
        <v>28</v>
      </c>
      <c r="C1278" t="s">
        <v>29</v>
      </c>
      <c r="D1278" t="s">
        <v>2901</v>
      </c>
      <c r="E1278" t="s">
        <v>2902</v>
      </c>
      <c r="F1278" t="e">
        <f>--ds-btn-group-primary-link-text</f>
        <v>#NAME?</v>
      </c>
      <c r="G1278" t="s">
        <v>60</v>
      </c>
      <c r="H1278" t="s">
        <v>60</v>
      </c>
      <c r="I1278" t="s">
        <v>32</v>
      </c>
      <c r="J1278" t="s">
        <v>24</v>
      </c>
      <c r="K1278" t="s">
        <v>2873</v>
      </c>
      <c r="L1278" t="s">
        <v>25</v>
      </c>
      <c r="M1278" t="s">
        <v>2903</v>
      </c>
      <c r="N1278" t="s">
        <v>2875</v>
      </c>
      <c r="O1278">
        <v>1</v>
      </c>
      <c r="P1278">
        <v>0</v>
      </c>
      <c r="Q1278">
        <v>0</v>
      </c>
      <c r="R1278" s="1">
        <v>46206.650196759256</v>
      </c>
      <c r="S1278" s="1">
        <v>46206.650196759256</v>
      </c>
    </row>
    <row r="1279" spans="1:19" x14ac:dyDescent="0.25">
      <c r="A1279">
        <v>2100113010</v>
      </c>
      <c r="B1279" t="s">
        <v>28</v>
      </c>
      <c r="C1279" t="s">
        <v>29</v>
      </c>
      <c r="D1279" t="s">
        <v>2904</v>
      </c>
      <c r="E1279" t="s">
        <v>2905</v>
      </c>
      <c r="F1279" t="e">
        <f>--ds-btn-group-primary-link-hover-text</f>
        <v>#NAME?</v>
      </c>
      <c r="G1279" t="s">
        <v>2906</v>
      </c>
      <c r="H1279" t="s">
        <v>2906</v>
      </c>
      <c r="I1279" t="s">
        <v>32</v>
      </c>
      <c r="J1279" t="s">
        <v>24</v>
      </c>
      <c r="K1279" t="s">
        <v>2873</v>
      </c>
      <c r="L1279" t="s">
        <v>25</v>
      </c>
      <c r="M1279" t="s">
        <v>2907</v>
      </c>
      <c r="N1279" t="s">
        <v>2875</v>
      </c>
      <c r="O1279">
        <v>1</v>
      </c>
      <c r="P1279">
        <v>0</v>
      </c>
      <c r="Q1279">
        <v>0</v>
      </c>
      <c r="R1279" s="1">
        <v>46206.650196759256</v>
      </c>
      <c r="S1279" s="1">
        <v>46206.650196759256</v>
      </c>
    </row>
    <row r="1280" spans="1:19" x14ac:dyDescent="0.25">
      <c r="A1280">
        <v>2100113011</v>
      </c>
      <c r="B1280" t="s">
        <v>28</v>
      </c>
      <c r="C1280" t="s">
        <v>29</v>
      </c>
      <c r="D1280" t="s">
        <v>2908</v>
      </c>
      <c r="E1280" t="s">
        <v>2909</v>
      </c>
      <c r="F1280" t="e">
        <f>--ds-btn-group-primary-link-border</f>
        <v>#NAME?</v>
      </c>
      <c r="G1280" t="s">
        <v>120</v>
      </c>
      <c r="H1280" t="s">
        <v>120</v>
      </c>
      <c r="I1280" t="s">
        <v>32</v>
      </c>
      <c r="J1280" t="s">
        <v>24</v>
      </c>
      <c r="K1280" t="s">
        <v>2873</v>
      </c>
      <c r="L1280" t="s">
        <v>25</v>
      </c>
      <c r="M1280" t="s">
        <v>2910</v>
      </c>
      <c r="N1280" t="s">
        <v>2875</v>
      </c>
      <c r="O1280">
        <v>1</v>
      </c>
      <c r="P1280">
        <v>0</v>
      </c>
      <c r="Q1280">
        <v>0</v>
      </c>
      <c r="R1280" s="1">
        <v>46206.650196759256</v>
      </c>
      <c r="S1280" s="1">
        <v>46206.650196759256</v>
      </c>
    </row>
    <row r="1281" spans="1:19" x14ac:dyDescent="0.25">
      <c r="A1281">
        <v>2100113012</v>
      </c>
      <c r="B1281" t="s">
        <v>28</v>
      </c>
      <c r="C1281" t="s">
        <v>29</v>
      </c>
      <c r="D1281" t="s">
        <v>2911</v>
      </c>
      <c r="E1281" t="s">
        <v>2912</v>
      </c>
      <c r="F1281" t="e">
        <f>--ds-btn-group-primary-link-hover-border</f>
        <v>#NAME?</v>
      </c>
      <c r="G1281" t="s">
        <v>2306</v>
      </c>
      <c r="H1281" t="s">
        <v>2306</v>
      </c>
      <c r="I1281" t="s">
        <v>32</v>
      </c>
      <c r="J1281" t="s">
        <v>24</v>
      </c>
      <c r="K1281" t="s">
        <v>2873</v>
      </c>
      <c r="L1281" t="s">
        <v>25</v>
      </c>
      <c r="M1281" t="s">
        <v>2913</v>
      </c>
      <c r="N1281" t="s">
        <v>2875</v>
      </c>
      <c r="O1281">
        <v>1</v>
      </c>
      <c r="P1281">
        <v>0</v>
      </c>
      <c r="Q1281">
        <v>0</v>
      </c>
      <c r="R1281" s="1">
        <v>46206.650196759256</v>
      </c>
      <c r="S1281" s="1">
        <v>46206.650196759256</v>
      </c>
    </row>
    <row r="1282" spans="1:19" x14ac:dyDescent="0.25">
      <c r="A1282">
        <v>2100113100</v>
      </c>
      <c r="B1282" t="s">
        <v>28</v>
      </c>
      <c r="C1282" t="s">
        <v>29</v>
      </c>
      <c r="D1282" t="s">
        <v>2914</v>
      </c>
      <c r="E1282" t="s">
        <v>2915</v>
      </c>
      <c r="F1282" t="e">
        <f>--ds-btn-group-secondary-group-bg</f>
        <v>#NAME?</v>
      </c>
      <c r="G1282" t="s">
        <v>112</v>
      </c>
      <c r="H1282" t="s">
        <v>112</v>
      </c>
      <c r="I1282" t="s">
        <v>32</v>
      </c>
      <c r="J1282" t="s">
        <v>78</v>
      </c>
      <c r="K1282" t="s">
        <v>2873</v>
      </c>
      <c r="L1282" t="s">
        <v>113</v>
      </c>
      <c r="M1282" t="s">
        <v>2874</v>
      </c>
      <c r="N1282" t="s">
        <v>2916</v>
      </c>
      <c r="O1282">
        <v>1</v>
      </c>
      <c r="P1282">
        <v>0</v>
      </c>
      <c r="Q1282">
        <v>0</v>
      </c>
      <c r="R1282" s="1">
        <v>46206.651099537034</v>
      </c>
      <c r="S1282" s="1">
        <v>46206.651099537034</v>
      </c>
    </row>
    <row r="1283" spans="1:19" x14ac:dyDescent="0.25">
      <c r="A1283">
        <v>2100113101</v>
      </c>
      <c r="B1283" t="s">
        <v>28</v>
      </c>
      <c r="C1283" t="s">
        <v>29</v>
      </c>
      <c r="D1283" t="s">
        <v>2917</v>
      </c>
      <c r="E1283" t="s">
        <v>2918</v>
      </c>
      <c r="F1283" t="e">
        <f>--ds-btn-group-secondary-group-border</f>
        <v>#NAME?</v>
      </c>
      <c r="G1283" t="s">
        <v>120</v>
      </c>
      <c r="H1283" t="s">
        <v>120</v>
      </c>
      <c r="I1283" t="s">
        <v>32</v>
      </c>
      <c r="J1283" t="s">
        <v>78</v>
      </c>
      <c r="K1283" t="s">
        <v>2873</v>
      </c>
      <c r="L1283" t="s">
        <v>113</v>
      </c>
      <c r="M1283" t="s">
        <v>2878</v>
      </c>
      <c r="N1283" t="s">
        <v>2916</v>
      </c>
      <c r="O1283">
        <v>1</v>
      </c>
      <c r="P1283">
        <v>0</v>
      </c>
      <c r="Q1283">
        <v>0</v>
      </c>
      <c r="R1283" s="1">
        <v>46206.651099537034</v>
      </c>
      <c r="S1283" s="1">
        <v>46206.651099537034</v>
      </c>
    </row>
    <row r="1284" spans="1:19" x14ac:dyDescent="0.25">
      <c r="A1284">
        <v>2100113102</v>
      </c>
      <c r="B1284" t="s">
        <v>28</v>
      </c>
      <c r="C1284" t="s">
        <v>29</v>
      </c>
      <c r="D1284" t="s">
        <v>2919</v>
      </c>
      <c r="E1284" t="s">
        <v>2920</v>
      </c>
      <c r="F1284" t="e">
        <f>--ds-btn-group-secondary-group-radius</f>
        <v>#NAME?</v>
      </c>
      <c r="G1284" t="s">
        <v>73</v>
      </c>
      <c r="H1284" t="s">
        <v>73</v>
      </c>
      <c r="I1284" t="s">
        <v>32</v>
      </c>
      <c r="J1284" t="s">
        <v>69</v>
      </c>
      <c r="K1284" t="s">
        <v>2873</v>
      </c>
      <c r="L1284" t="s">
        <v>113</v>
      </c>
      <c r="M1284" t="s">
        <v>2881</v>
      </c>
      <c r="N1284" t="s">
        <v>2916</v>
      </c>
      <c r="O1284">
        <v>1</v>
      </c>
      <c r="P1284">
        <v>0</v>
      </c>
      <c r="Q1284">
        <v>0</v>
      </c>
      <c r="R1284" s="1">
        <v>46206.651099537034</v>
      </c>
      <c r="S1284" s="1">
        <v>46206.651099537034</v>
      </c>
    </row>
    <row r="1285" spans="1:19" x14ac:dyDescent="0.25">
      <c r="A1285">
        <v>2100113103</v>
      </c>
      <c r="B1285" t="s">
        <v>28</v>
      </c>
      <c r="C1285" t="s">
        <v>29</v>
      </c>
      <c r="D1285" t="s">
        <v>2921</v>
      </c>
      <c r="E1285" t="s">
        <v>2922</v>
      </c>
      <c r="F1285" t="e">
        <f>--ds-btn-group-secondary-group-padding-x</f>
        <v>#NAME?</v>
      </c>
      <c r="G1285" t="s">
        <v>2884</v>
      </c>
      <c r="H1285" t="s">
        <v>2884</v>
      </c>
      <c r="I1285" t="s">
        <v>32</v>
      </c>
      <c r="J1285" t="s">
        <v>78</v>
      </c>
      <c r="K1285" t="s">
        <v>2873</v>
      </c>
      <c r="L1285" t="s">
        <v>113</v>
      </c>
      <c r="M1285" t="s">
        <v>2885</v>
      </c>
      <c r="N1285" t="s">
        <v>2916</v>
      </c>
      <c r="O1285">
        <v>1</v>
      </c>
      <c r="P1285">
        <v>0</v>
      </c>
      <c r="Q1285">
        <v>0</v>
      </c>
      <c r="R1285" s="1">
        <v>46206.651099537034</v>
      </c>
      <c r="S1285" s="1">
        <v>46206.651099537034</v>
      </c>
    </row>
    <row r="1286" spans="1:19" x14ac:dyDescent="0.25">
      <c r="A1286">
        <v>2100113104</v>
      </c>
      <c r="B1286" t="s">
        <v>28</v>
      </c>
      <c r="C1286" t="s">
        <v>29</v>
      </c>
      <c r="D1286" t="s">
        <v>2923</v>
      </c>
      <c r="E1286" t="s">
        <v>2924</v>
      </c>
      <c r="F1286" t="e">
        <f>--ds-btn-group-secondary-group-padding-y</f>
        <v>#NAME?</v>
      </c>
      <c r="G1286" t="s">
        <v>2884</v>
      </c>
      <c r="H1286" t="s">
        <v>2884</v>
      </c>
      <c r="I1286" t="s">
        <v>32</v>
      </c>
      <c r="J1286" t="s">
        <v>78</v>
      </c>
      <c r="K1286" t="s">
        <v>2873</v>
      </c>
      <c r="L1286" t="s">
        <v>113</v>
      </c>
      <c r="M1286" t="s">
        <v>2888</v>
      </c>
      <c r="N1286" t="s">
        <v>2916</v>
      </c>
      <c r="O1286">
        <v>1</v>
      </c>
      <c r="P1286">
        <v>0</v>
      </c>
      <c r="Q1286">
        <v>0</v>
      </c>
      <c r="R1286" s="1">
        <v>46206.651099537034</v>
      </c>
      <c r="S1286" s="1">
        <v>46206.651099537034</v>
      </c>
    </row>
    <row r="1287" spans="1:19" x14ac:dyDescent="0.25">
      <c r="A1287">
        <v>2100113105</v>
      </c>
      <c r="B1287" t="s">
        <v>28</v>
      </c>
      <c r="C1287" t="s">
        <v>29</v>
      </c>
      <c r="D1287" t="s">
        <v>2925</v>
      </c>
      <c r="E1287" t="s">
        <v>2926</v>
      </c>
      <c r="F1287" t="e">
        <f>--ds-btn-group-secondary-group-gap</f>
        <v>#NAME?</v>
      </c>
      <c r="G1287" t="s">
        <v>2884</v>
      </c>
      <c r="H1287" t="s">
        <v>2884</v>
      </c>
      <c r="I1287" t="s">
        <v>32</v>
      </c>
      <c r="J1287" t="s">
        <v>78</v>
      </c>
      <c r="K1287" t="s">
        <v>2873</v>
      </c>
      <c r="L1287" t="s">
        <v>113</v>
      </c>
      <c r="M1287" t="s">
        <v>2891</v>
      </c>
      <c r="N1287" t="s">
        <v>2916</v>
      </c>
      <c r="O1287">
        <v>1</v>
      </c>
      <c r="P1287">
        <v>0</v>
      </c>
      <c r="Q1287">
        <v>0</v>
      </c>
      <c r="R1287" s="1">
        <v>46206.651099537034</v>
      </c>
      <c r="S1287" s="1">
        <v>46206.651099537034</v>
      </c>
    </row>
    <row r="1288" spans="1:19" x14ac:dyDescent="0.25">
      <c r="A1288">
        <v>2100113106</v>
      </c>
      <c r="B1288" t="s">
        <v>28</v>
      </c>
      <c r="C1288" t="s">
        <v>29</v>
      </c>
      <c r="D1288" t="s">
        <v>2927</v>
      </c>
      <c r="E1288" t="s">
        <v>2928</v>
      </c>
      <c r="F1288" t="e">
        <f>--ds-btn-group-secondary-active-bg</f>
        <v>#NAME?</v>
      </c>
      <c r="G1288" t="s">
        <v>60</v>
      </c>
      <c r="H1288" t="s">
        <v>60</v>
      </c>
      <c r="I1288" t="s">
        <v>32</v>
      </c>
      <c r="J1288" t="s">
        <v>24</v>
      </c>
      <c r="K1288" t="s">
        <v>2873</v>
      </c>
      <c r="L1288" t="s">
        <v>113</v>
      </c>
      <c r="M1288" t="s">
        <v>2894</v>
      </c>
      <c r="N1288" t="s">
        <v>2916</v>
      </c>
      <c r="O1288">
        <v>1</v>
      </c>
      <c r="P1288">
        <v>0</v>
      </c>
      <c r="Q1288">
        <v>0</v>
      </c>
      <c r="R1288" s="1">
        <v>46206.651099537034</v>
      </c>
      <c r="S1288" s="1">
        <v>46206.651099537034</v>
      </c>
    </row>
    <row r="1289" spans="1:19" x14ac:dyDescent="0.25">
      <c r="A1289">
        <v>2100113107</v>
      </c>
      <c r="B1289" t="s">
        <v>28</v>
      </c>
      <c r="C1289" t="s">
        <v>29</v>
      </c>
      <c r="D1289" t="s">
        <v>2929</v>
      </c>
      <c r="E1289" t="s">
        <v>2930</v>
      </c>
      <c r="F1289" t="e">
        <f>--ds-btn-group-secondary-active-text</f>
        <v>#NAME?</v>
      </c>
      <c r="G1289" t="s">
        <v>37</v>
      </c>
      <c r="H1289" t="s">
        <v>37</v>
      </c>
      <c r="I1289" t="s">
        <v>32</v>
      </c>
      <c r="J1289" t="s">
        <v>24</v>
      </c>
      <c r="K1289" t="s">
        <v>2873</v>
      </c>
      <c r="L1289" t="s">
        <v>113</v>
      </c>
      <c r="M1289" t="s">
        <v>2897</v>
      </c>
      <c r="N1289" t="s">
        <v>2916</v>
      </c>
      <c r="O1289">
        <v>1</v>
      </c>
      <c r="P1289">
        <v>0</v>
      </c>
      <c r="Q1289">
        <v>0</v>
      </c>
      <c r="R1289" s="1">
        <v>46206.651099537034</v>
      </c>
      <c r="S1289" s="1">
        <v>46206.651099537034</v>
      </c>
    </row>
    <row r="1290" spans="1:19" x14ac:dyDescent="0.25">
      <c r="A1290">
        <v>2100113108</v>
      </c>
      <c r="B1290" t="s">
        <v>28</v>
      </c>
      <c r="C1290" t="s">
        <v>29</v>
      </c>
      <c r="D1290" t="s">
        <v>2931</v>
      </c>
      <c r="E1290" t="s">
        <v>2932</v>
      </c>
      <c r="F1290" t="e">
        <f>--ds-btn-group-secondary-active-border</f>
        <v>#NAME?</v>
      </c>
      <c r="G1290" t="s">
        <v>871</v>
      </c>
      <c r="H1290" t="s">
        <v>871</v>
      </c>
      <c r="I1290" t="s">
        <v>32</v>
      </c>
      <c r="J1290" t="s">
        <v>24</v>
      </c>
      <c r="K1290" t="s">
        <v>2873</v>
      </c>
      <c r="L1290" t="s">
        <v>113</v>
      </c>
      <c r="M1290" t="s">
        <v>2900</v>
      </c>
      <c r="N1290" t="s">
        <v>2916</v>
      </c>
      <c r="O1290">
        <v>1</v>
      </c>
      <c r="P1290">
        <v>0</v>
      </c>
      <c r="Q1290">
        <v>0</v>
      </c>
      <c r="R1290" s="1">
        <v>46206.651099537034</v>
      </c>
      <c r="S1290" s="1">
        <v>46206.651099537034</v>
      </c>
    </row>
    <row r="1291" spans="1:19" x14ac:dyDescent="0.25">
      <c r="A1291">
        <v>2100113109</v>
      </c>
      <c r="B1291" t="s">
        <v>28</v>
      </c>
      <c r="C1291" t="s">
        <v>29</v>
      </c>
      <c r="D1291" t="s">
        <v>2933</v>
      </c>
      <c r="E1291" t="s">
        <v>2934</v>
      </c>
      <c r="F1291" t="e">
        <f>--ds-btn-group-secondary-link-text</f>
        <v>#NAME?</v>
      </c>
      <c r="G1291" t="s">
        <v>60</v>
      </c>
      <c r="H1291" t="s">
        <v>60</v>
      </c>
      <c r="I1291" t="s">
        <v>32</v>
      </c>
      <c r="J1291" t="s">
        <v>24</v>
      </c>
      <c r="K1291" t="s">
        <v>2873</v>
      </c>
      <c r="L1291" t="s">
        <v>113</v>
      </c>
      <c r="M1291" t="s">
        <v>2903</v>
      </c>
      <c r="N1291" t="s">
        <v>2916</v>
      </c>
      <c r="O1291">
        <v>1</v>
      </c>
      <c r="P1291">
        <v>0</v>
      </c>
      <c r="Q1291">
        <v>0</v>
      </c>
      <c r="R1291" s="1">
        <v>46206.651099537034</v>
      </c>
      <c r="S1291" s="1">
        <v>46206.651099537034</v>
      </c>
    </row>
    <row r="1292" spans="1:19" x14ac:dyDescent="0.25">
      <c r="A1292">
        <v>2100113110</v>
      </c>
      <c r="B1292" t="s">
        <v>28</v>
      </c>
      <c r="C1292" t="s">
        <v>29</v>
      </c>
      <c r="D1292" t="s">
        <v>2935</v>
      </c>
      <c r="E1292" t="s">
        <v>2936</v>
      </c>
      <c r="F1292" t="e">
        <f>--ds-btn-group-secondary-link-hover-text</f>
        <v>#NAME?</v>
      </c>
      <c r="G1292" t="s">
        <v>2906</v>
      </c>
      <c r="H1292" t="s">
        <v>2906</v>
      </c>
      <c r="I1292" t="s">
        <v>32</v>
      </c>
      <c r="J1292" t="s">
        <v>24</v>
      </c>
      <c r="K1292" t="s">
        <v>2873</v>
      </c>
      <c r="L1292" t="s">
        <v>113</v>
      </c>
      <c r="M1292" t="s">
        <v>2907</v>
      </c>
      <c r="N1292" t="s">
        <v>2916</v>
      </c>
      <c r="O1292">
        <v>1</v>
      </c>
      <c r="P1292">
        <v>0</v>
      </c>
      <c r="Q1292">
        <v>0</v>
      </c>
      <c r="R1292" s="1">
        <v>46206.651099537034</v>
      </c>
      <c r="S1292" s="1">
        <v>46206.651099537034</v>
      </c>
    </row>
    <row r="1293" spans="1:19" x14ac:dyDescent="0.25">
      <c r="A1293">
        <v>2100113111</v>
      </c>
      <c r="B1293" t="s">
        <v>28</v>
      </c>
      <c r="C1293" t="s">
        <v>29</v>
      </c>
      <c r="D1293" t="s">
        <v>2937</v>
      </c>
      <c r="E1293" t="s">
        <v>2938</v>
      </c>
      <c r="F1293" t="e">
        <f>--ds-btn-group-secondary-link-border</f>
        <v>#NAME?</v>
      </c>
      <c r="G1293" t="s">
        <v>120</v>
      </c>
      <c r="H1293" t="s">
        <v>120</v>
      </c>
      <c r="I1293" t="s">
        <v>32</v>
      </c>
      <c r="J1293" t="s">
        <v>24</v>
      </c>
      <c r="K1293" t="s">
        <v>2873</v>
      </c>
      <c r="L1293" t="s">
        <v>113</v>
      </c>
      <c r="M1293" t="s">
        <v>2910</v>
      </c>
      <c r="N1293" t="s">
        <v>2916</v>
      </c>
      <c r="O1293">
        <v>1</v>
      </c>
      <c r="P1293">
        <v>0</v>
      </c>
      <c r="Q1293">
        <v>0</v>
      </c>
      <c r="R1293" s="1">
        <v>46206.651099537034</v>
      </c>
      <c r="S1293" s="1">
        <v>46206.651099537034</v>
      </c>
    </row>
    <row r="1294" spans="1:19" x14ac:dyDescent="0.25">
      <c r="A1294">
        <v>2100113112</v>
      </c>
      <c r="B1294" t="s">
        <v>28</v>
      </c>
      <c r="C1294" t="s">
        <v>29</v>
      </c>
      <c r="D1294" t="s">
        <v>2939</v>
      </c>
      <c r="E1294" t="s">
        <v>2940</v>
      </c>
      <c r="F1294" t="e">
        <f>--ds-btn-group-secondary-link-hover-border</f>
        <v>#NAME?</v>
      </c>
      <c r="G1294" t="s">
        <v>2306</v>
      </c>
      <c r="H1294" t="s">
        <v>2306</v>
      </c>
      <c r="I1294" t="s">
        <v>32</v>
      </c>
      <c r="J1294" t="s">
        <v>24</v>
      </c>
      <c r="K1294" t="s">
        <v>2873</v>
      </c>
      <c r="L1294" t="s">
        <v>113</v>
      </c>
      <c r="M1294" t="s">
        <v>2913</v>
      </c>
      <c r="N1294" t="s">
        <v>2916</v>
      </c>
      <c r="O1294">
        <v>1</v>
      </c>
      <c r="P1294">
        <v>0</v>
      </c>
      <c r="Q1294">
        <v>0</v>
      </c>
      <c r="R1294" s="1">
        <v>46206.651099537034</v>
      </c>
      <c r="S1294" s="1">
        <v>46206.651099537034</v>
      </c>
    </row>
    <row r="1295" spans="1:19" x14ac:dyDescent="0.25">
      <c r="A1295">
        <v>2100113200</v>
      </c>
      <c r="B1295" t="s">
        <v>28</v>
      </c>
      <c r="C1295" t="s">
        <v>29</v>
      </c>
      <c r="D1295" t="s">
        <v>2941</v>
      </c>
      <c r="E1295" t="s">
        <v>2942</v>
      </c>
      <c r="F1295" t="e">
        <f>--ds-btn-group-info-group-bg</f>
        <v>#NAME?</v>
      </c>
      <c r="G1295" t="s">
        <v>112</v>
      </c>
      <c r="H1295" t="s">
        <v>112</v>
      </c>
      <c r="I1295" t="s">
        <v>32</v>
      </c>
      <c r="J1295" t="s">
        <v>78</v>
      </c>
      <c r="K1295" t="s">
        <v>2873</v>
      </c>
      <c r="L1295" t="s">
        <v>205</v>
      </c>
      <c r="M1295" t="s">
        <v>2874</v>
      </c>
      <c r="N1295" t="s">
        <v>2943</v>
      </c>
      <c r="O1295">
        <v>1</v>
      </c>
      <c r="P1295">
        <v>0</v>
      </c>
      <c r="Q1295">
        <v>0</v>
      </c>
      <c r="R1295" s="1">
        <v>46206.656157407408</v>
      </c>
      <c r="S1295" s="1">
        <v>46206.656157407408</v>
      </c>
    </row>
    <row r="1296" spans="1:19" x14ac:dyDescent="0.25">
      <c r="A1296">
        <v>2100113201</v>
      </c>
      <c r="B1296" t="s">
        <v>28</v>
      </c>
      <c r="C1296" t="s">
        <v>29</v>
      </c>
      <c r="D1296" t="s">
        <v>2944</v>
      </c>
      <c r="E1296" t="s">
        <v>2945</v>
      </c>
      <c r="F1296" t="e">
        <f>--ds-btn-group-info-group-border</f>
        <v>#NAME?</v>
      </c>
      <c r="G1296" t="s">
        <v>120</v>
      </c>
      <c r="H1296" t="s">
        <v>120</v>
      </c>
      <c r="I1296" t="s">
        <v>32</v>
      </c>
      <c r="J1296" t="s">
        <v>78</v>
      </c>
      <c r="K1296" t="s">
        <v>2873</v>
      </c>
      <c r="L1296" t="s">
        <v>205</v>
      </c>
      <c r="M1296" t="s">
        <v>2878</v>
      </c>
      <c r="N1296" t="s">
        <v>2943</v>
      </c>
      <c r="O1296">
        <v>1</v>
      </c>
      <c r="P1296">
        <v>0</v>
      </c>
      <c r="Q1296">
        <v>0</v>
      </c>
      <c r="R1296" s="1">
        <v>46206.656157407408</v>
      </c>
      <c r="S1296" s="1">
        <v>46206.656157407408</v>
      </c>
    </row>
    <row r="1297" spans="1:19" x14ac:dyDescent="0.25">
      <c r="A1297">
        <v>2100113202</v>
      </c>
      <c r="B1297" t="s">
        <v>28</v>
      </c>
      <c r="C1297" t="s">
        <v>29</v>
      </c>
      <c r="D1297" t="s">
        <v>2946</v>
      </c>
      <c r="E1297" t="s">
        <v>2947</v>
      </c>
      <c r="F1297" t="e">
        <f>--ds-btn-group-info-group-radius</f>
        <v>#NAME?</v>
      </c>
      <c r="G1297" t="s">
        <v>73</v>
      </c>
      <c r="H1297" t="s">
        <v>73</v>
      </c>
      <c r="I1297" t="s">
        <v>32</v>
      </c>
      <c r="J1297" t="s">
        <v>69</v>
      </c>
      <c r="K1297" t="s">
        <v>2873</v>
      </c>
      <c r="L1297" t="s">
        <v>205</v>
      </c>
      <c r="M1297" t="s">
        <v>2881</v>
      </c>
      <c r="N1297" t="s">
        <v>2943</v>
      </c>
      <c r="O1297">
        <v>1</v>
      </c>
      <c r="P1297">
        <v>0</v>
      </c>
      <c r="Q1297">
        <v>0</v>
      </c>
      <c r="R1297" s="1">
        <v>46206.656157407408</v>
      </c>
      <c r="S1297" s="1">
        <v>46206.656157407408</v>
      </c>
    </row>
    <row r="1298" spans="1:19" x14ac:dyDescent="0.25">
      <c r="A1298">
        <v>2100113203</v>
      </c>
      <c r="B1298" t="s">
        <v>28</v>
      </c>
      <c r="C1298" t="s">
        <v>29</v>
      </c>
      <c r="D1298" t="s">
        <v>2948</v>
      </c>
      <c r="E1298" t="s">
        <v>2949</v>
      </c>
      <c r="F1298" t="e">
        <f>--ds-btn-group-info-group-padding-x</f>
        <v>#NAME?</v>
      </c>
      <c r="G1298" t="s">
        <v>2884</v>
      </c>
      <c r="H1298" t="s">
        <v>2884</v>
      </c>
      <c r="I1298" t="s">
        <v>32</v>
      </c>
      <c r="J1298" t="s">
        <v>78</v>
      </c>
      <c r="K1298" t="s">
        <v>2873</v>
      </c>
      <c r="L1298" t="s">
        <v>205</v>
      </c>
      <c r="M1298" t="s">
        <v>2885</v>
      </c>
      <c r="N1298" t="s">
        <v>2943</v>
      </c>
      <c r="O1298">
        <v>1</v>
      </c>
      <c r="P1298">
        <v>0</v>
      </c>
      <c r="Q1298">
        <v>0</v>
      </c>
      <c r="R1298" s="1">
        <v>46206.656157407408</v>
      </c>
      <c r="S1298" s="1">
        <v>46206.656157407408</v>
      </c>
    </row>
    <row r="1299" spans="1:19" x14ac:dyDescent="0.25">
      <c r="A1299">
        <v>2100113204</v>
      </c>
      <c r="B1299" t="s">
        <v>28</v>
      </c>
      <c r="C1299" t="s">
        <v>29</v>
      </c>
      <c r="D1299" t="s">
        <v>2950</v>
      </c>
      <c r="E1299" t="s">
        <v>2951</v>
      </c>
      <c r="F1299" t="e">
        <f>--ds-btn-group-info-group-padding-y</f>
        <v>#NAME?</v>
      </c>
      <c r="G1299" t="s">
        <v>2884</v>
      </c>
      <c r="H1299" t="s">
        <v>2884</v>
      </c>
      <c r="I1299" t="s">
        <v>32</v>
      </c>
      <c r="J1299" t="s">
        <v>78</v>
      </c>
      <c r="K1299" t="s">
        <v>2873</v>
      </c>
      <c r="L1299" t="s">
        <v>205</v>
      </c>
      <c r="M1299" t="s">
        <v>2888</v>
      </c>
      <c r="N1299" t="s">
        <v>2943</v>
      </c>
      <c r="O1299">
        <v>1</v>
      </c>
      <c r="P1299">
        <v>0</v>
      </c>
      <c r="Q1299">
        <v>0</v>
      </c>
      <c r="R1299" s="1">
        <v>46206.656157407408</v>
      </c>
      <c r="S1299" s="1">
        <v>46206.656157407408</v>
      </c>
    </row>
    <row r="1300" spans="1:19" x14ac:dyDescent="0.25">
      <c r="A1300">
        <v>2100113205</v>
      </c>
      <c r="B1300" t="s">
        <v>28</v>
      </c>
      <c r="C1300" t="s">
        <v>29</v>
      </c>
      <c r="D1300" t="s">
        <v>2952</v>
      </c>
      <c r="E1300" t="s">
        <v>2953</v>
      </c>
      <c r="F1300" t="e">
        <f>--ds-btn-group-info-group-gap</f>
        <v>#NAME?</v>
      </c>
      <c r="G1300" t="s">
        <v>2884</v>
      </c>
      <c r="H1300" t="s">
        <v>2884</v>
      </c>
      <c r="I1300" t="s">
        <v>32</v>
      </c>
      <c r="J1300" t="s">
        <v>78</v>
      </c>
      <c r="K1300" t="s">
        <v>2873</v>
      </c>
      <c r="L1300" t="s">
        <v>205</v>
      </c>
      <c r="M1300" t="s">
        <v>2891</v>
      </c>
      <c r="N1300" t="s">
        <v>2943</v>
      </c>
      <c r="O1300">
        <v>1</v>
      </c>
      <c r="P1300">
        <v>0</v>
      </c>
      <c r="Q1300">
        <v>0</v>
      </c>
      <c r="R1300" s="1">
        <v>46206.656157407408</v>
      </c>
      <c r="S1300" s="1">
        <v>46206.656157407408</v>
      </c>
    </row>
    <row r="1301" spans="1:19" x14ac:dyDescent="0.25">
      <c r="A1301">
        <v>2100113206</v>
      </c>
      <c r="B1301" t="s">
        <v>28</v>
      </c>
      <c r="C1301" t="s">
        <v>29</v>
      </c>
      <c r="D1301" t="s">
        <v>2954</v>
      </c>
      <c r="E1301" t="s">
        <v>2955</v>
      </c>
      <c r="F1301" t="e">
        <f>--ds-btn-group-info-active-bg</f>
        <v>#NAME?</v>
      </c>
      <c r="G1301" t="s">
        <v>204</v>
      </c>
      <c r="H1301" t="s">
        <v>204</v>
      </c>
      <c r="I1301" t="s">
        <v>32</v>
      </c>
      <c r="J1301" t="s">
        <v>24</v>
      </c>
      <c r="K1301" t="s">
        <v>2873</v>
      </c>
      <c r="L1301" t="s">
        <v>205</v>
      </c>
      <c r="M1301" t="s">
        <v>2894</v>
      </c>
      <c r="N1301" t="s">
        <v>2943</v>
      </c>
      <c r="O1301">
        <v>1</v>
      </c>
      <c r="P1301">
        <v>0</v>
      </c>
      <c r="Q1301">
        <v>0</v>
      </c>
      <c r="R1301" s="1">
        <v>46206.656157407408</v>
      </c>
      <c r="S1301" s="1">
        <v>46206.656157407408</v>
      </c>
    </row>
    <row r="1302" spans="1:19" x14ac:dyDescent="0.25">
      <c r="A1302">
        <v>2100113207</v>
      </c>
      <c r="B1302" t="s">
        <v>28</v>
      </c>
      <c r="C1302" t="s">
        <v>29</v>
      </c>
      <c r="D1302" t="s">
        <v>2956</v>
      </c>
      <c r="E1302" t="s">
        <v>2957</v>
      </c>
      <c r="F1302" t="e">
        <f>--ds-btn-group-info-active-text</f>
        <v>#NAME?</v>
      </c>
      <c r="G1302" t="s">
        <v>816</v>
      </c>
      <c r="H1302" t="s">
        <v>816</v>
      </c>
      <c r="I1302" t="s">
        <v>32</v>
      </c>
      <c r="J1302" t="s">
        <v>24</v>
      </c>
      <c r="K1302" t="s">
        <v>2873</v>
      </c>
      <c r="L1302" t="s">
        <v>205</v>
      </c>
      <c r="M1302" t="s">
        <v>2897</v>
      </c>
      <c r="N1302" t="s">
        <v>2943</v>
      </c>
      <c r="O1302">
        <v>1</v>
      </c>
      <c r="P1302">
        <v>0</v>
      </c>
      <c r="Q1302">
        <v>0</v>
      </c>
      <c r="R1302" s="1">
        <v>46206.656157407408</v>
      </c>
      <c r="S1302" s="1">
        <v>46206.656157407408</v>
      </c>
    </row>
    <row r="1303" spans="1:19" x14ac:dyDescent="0.25">
      <c r="A1303">
        <v>2100113208</v>
      </c>
      <c r="B1303" t="s">
        <v>28</v>
      </c>
      <c r="C1303" t="s">
        <v>29</v>
      </c>
      <c r="D1303" t="s">
        <v>2958</v>
      </c>
      <c r="E1303" t="s">
        <v>2959</v>
      </c>
      <c r="F1303" t="e">
        <f>--ds-btn-group-info-active-border</f>
        <v>#NAME?</v>
      </c>
      <c r="G1303" t="s">
        <v>2469</v>
      </c>
      <c r="H1303" t="s">
        <v>2469</v>
      </c>
      <c r="I1303" t="s">
        <v>32</v>
      </c>
      <c r="J1303" t="s">
        <v>24</v>
      </c>
      <c r="K1303" t="s">
        <v>2873</v>
      </c>
      <c r="L1303" t="s">
        <v>205</v>
      </c>
      <c r="M1303" t="s">
        <v>2900</v>
      </c>
      <c r="N1303" t="s">
        <v>2943</v>
      </c>
      <c r="O1303">
        <v>1</v>
      </c>
      <c r="P1303">
        <v>0</v>
      </c>
      <c r="Q1303">
        <v>0</v>
      </c>
      <c r="R1303" s="1">
        <v>46206.656157407408</v>
      </c>
      <c r="S1303" s="1">
        <v>46206.656157407408</v>
      </c>
    </row>
    <row r="1304" spans="1:19" x14ac:dyDescent="0.25">
      <c r="A1304">
        <v>2100113209</v>
      </c>
      <c r="B1304" t="s">
        <v>28</v>
      </c>
      <c r="C1304" t="s">
        <v>29</v>
      </c>
      <c r="D1304" t="s">
        <v>2960</v>
      </c>
      <c r="E1304" t="s">
        <v>2961</v>
      </c>
      <c r="F1304" t="e">
        <f>--ds-btn-group-info-link-text</f>
        <v>#NAME?</v>
      </c>
      <c r="G1304" t="s">
        <v>60</v>
      </c>
      <c r="H1304" t="s">
        <v>60</v>
      </c>
      <c r="I1304" t="s">
        <v>32</v>
      </c>
      <c r="J1304" t="s">
        <v>24</v>
      </c>
      <c r="K1304" t="s">
        <v>2873</v>
      </c>
      <c r="L1304" t="s">
        <v>205</v>
      </c>
      <c r="M1304" t="s">
        <v>2903</v>
      </c>
      <c r="N1304" t="s">
        <v>2943</v>
      </c>
      <c r="O1304">
        <v>1</v>
      </c>
      <c r="P1304">
        <v>0</v>
      </c>
      <c r="Q1304">
        <v>0</v>
      </c>
      <c r="R1304" s="1">
        <v>46206.656157407408</v>
      </c>
      <c r="S1304" s="1">
        <v>46206.656157407408</v>
      </c>
    </row>
    <row r="1305" spans="1:19" x14ac:dyDescent="0.25">
      <c r="A1305">
        <v>2100113210</v>
      </c>
      <c r="B1305" t="s">
        <v>28</v>
      </c>
      <c r="C1305" t="s">
        <v>29</v>
      </c>
      <c r="D1305" t="s">
        <v>2962</v>
      </c>
      <c r="E1305" t="s">
        <v>2963</v>
      </c>
      <c r="F1305" t="e">
        <f>--ds-btn-group-info-link-hover-text</f>
        <v>#NAME?</v>
      </c>
      <c r="G1305" t="s">
        <v>2906</v>
      </c>
      <c r="H1305" t="s">
        <v>2906</v>
      </c>
      <c r="I1305" t="s">
        <v>32</v>
      </c>
      <c r="J1305" t="s">
        <v>24</v>
      </c>
      <c r="K1305" t="s">
        <v>2873</v>
      </c>
      <c r="L1305" t="s">
        <v>205</v>
      </c>
      <c r="M1305" t="s">
        <v>2907</v>
      </c>
      <c r="N1305" t="s">
        <v>2943</v>
      </c>
      <c r="O1305">
        <v>1</v>
      </c>
      <c r="P1305">
        <v>0</v>
      </c>
      <c r="Q1305">
        <v>0</v>
      </c>
      <c r="R1305" s="1">
        <v>46206.656157407408</v>
      </c>
      <c r="S1305" s="1">
        <v>46206.656157407408</v>
      </c>
    </row>
    <row r="1306" spans="1:19" x14ac:dyDescent="0.25">
      <c r="A1306">
        <v>2100113211</v>
      </c>
      <c r="B1306" t="s">
        <v>28</v>
      </c>
      <c r="C1306" t="s">
        <v>29</v>
      </c>
      <c r="D1306" t="s">
        <v>2964</v>
      </c>
      <c r="E1306" t="s">
        <v>2965</v>
      </c>
      <c r="F1306" t="e">
        <f>--ds-btn-group-info-link-border</f>
        <v>#NAME?</v>
      </c>
      <c r="G1306" t="s">
        <v>120</v>
      </c>
      <c r="H1306" t="s">
        <v>120</v>
      </c>
      <c r="I1306" t="s">
        <v>32</v>
      </c>
      <c r="J1306" t="s">
        <v>24</v>
      </c>
      <c r="K1306" t="s">
        <v>2873</v>
      </c>
      <c r="L1306" t="s">
        <v>205</v>
      </c>
      <c r="M1306" t="s">
        <v>2910</v>
      </c>
      <c r="N1306" t="s">
        <v>2943</v>
      </c>
      <c r="O1306">
        <v>1</v>
      </c>
      <c r="P1306">
        <v>0</v>
      </c>
      <c r="Q1306">
        <v>0</v>
      </c>
      <c r="R1306" s="1">
        <v>46206.656157407408</v>
      </c>
      <c r="S1306" s="1">
        <v>46206.656157407408</v>
      </c>
    </row>
    <row r="1307" spans="1:19" x14ac:dyDescent="0.25">
      <c r="A1307">
        <v>2100113212</v>
      </c>
      <c r="B1307" t="s">
        <v>28</v>
      </c>
      <c r="C1307" t="s">
        <v>29</v>
      </c>
      <c r="D1307" t="s">
        <v>2966</v>
      </c>
      <c r="E1307" t="s">
        <v>2967</v>
      </c>
      <c r="F1307" t="e">
        <f>--ds-btn-group-info-link-hover-border</f>
        <v>#NAME?</v>
      </c>
      <c r="G1307" t="s">
        <v>2306</v>
      </c>
      <c r="H1307" t="s">
        <v>2306</v>
      </c>
      <c r="I1307" t="s">
        <v>32</v>
      </c>
      <c r="J1307" t="s">
        <v>24</v>
      </c>
      <c r="K1307" t="s">
        <v>2873</v>
      </c>
      <c r="L1307" t="s">
        <v>205</v>
      </c>
      <c r="M1307" t="s">
        <v>2913</v>
      </c>
      <c r="N1307" t="s">
        <v>2943</v>
      </c>
      <c r="O1307">
        <v>1</v>
      </c>
      <c r="P1307">
        <v>0</v>
      </c>
      <c r="Q1307">
        <v>0</v>
      </c>
      <c r="R1307" s="1">
        <v>46206.656157407408</v>
      </c>
      <c r="S1307" s="1">
        <v>46206.656157407408</v>
      </c>
    </row>
    <row r="1308" spans="1:19" x14ac:dyDescent="0.25">
      <c r="A1308">
        <v>3010110000</v>
      </c>
      <c r="B1308" t="s">
        <v>28</v>
      </c>
      <c r="C1308" t="s">
        <v>29</v>
      </c>
      <c r="D1308" t="s">
        <v>2968</v>
      </c>
      <c r="E1308" t="s">
        <v>2969</v>
      </c>
      <c r="F1308" t="e">
        <f>--ds-btn-loading-success-outline-bg</f>
        <v>#NAME?</v>
      </c>
      <c r="G1308" t="s">
        <v>112</v>
      </c>
      <c r="H1308" t="s">
        <v>112</v>
      </c>
      <c r="I1308" t="s">
        <v>32</v>
      </c>
      <c r="J1308" t="s">
        <v>24</v>
      </c>
      <c r="K1308" t="s">
        <v>1837</v>
      </c>
      <c r="L1308" t="s">
        <v>2970</v>
      </c>
      <c r="M1308" t="s">
        <v>26</v>
      </c>
      <c r="N1308" t="s">
        <v>2971</v>
      </c>
      <c r="O1308">
        <v>1</v>
      </c>
      <c r="P1308">
        <v>1</v>
      </c>
      <c r="Q1308">
        <v>0</v>
      </c>
      <c r="R1308" s="1">
        <v>46195.684328703705</v>
      </c>
      <c r="S1308" s="1">
        <v>46205.860671296294</v>
      </c>
    </row>
    <row r="1309" spans="1:19" x14ac:dyDescent="0.25">
      <c r="A1309">
        <v>3010110001</v>
      </c>
      <c r="B1309" t="s">
        <v>28</v>
      </c>
      <c r="C1309" t="s">
        <v>29</v>
      </c>
      <c r="D1309" t="s">
        <v>2972</v>
      </c>
      <c r="E1309" t="s">
        <v>2973</v>
      </c>
      <c r="F1309" t="e">
        <f>--ds-btn-loading-success-outline-text</f>
        <v>#NAME?</v>
      </c>
      <c r="G1309" t="s">
        <v>138</v>
      </c>
      <c r="H1309" t="s">
        <v>138</v>
      </c>
      <c r="I1309" t="s">
        <v>32</v>
      </c>
      <c r="J1309" t="s">
        <v>24</v>
      </c>
      <c r="K1309" t="s">
        <v>1837</v>
      </c>
      <c r="L1309" t="s">
        <v>2970</v>
      </c>
      <c r="M1309" t="s">
        <v>38</v>
      </c>
      <c r="N1309" t="s">
        <v>2971</v>
      </c>
      <c r="O1309">
        <v>1</v>
      </c>
      <c r="P1309">
        <v>1</v>
      </c>
      <c r="Q1309">
        <v>0</v>
      </c>
      <c r="R1309" s="1">
        <v>46195.684328703705</v>
      </c>
      <c r="S1309" s="1">
        <v>46205.860671296294</v>
      </c>
    </row>
    <row r="1310" spans="1:19" x14ac:dyDescent="0.25">
      <c r="A1310">
        <v>3010110002</v>
      </c>
      <c r="B1310" t="s">
        <v>28</v>
      </c>
      <c r="C1310" t="s">
        <v>29</v>
      </c>
      <c r="D1310" t="s">
        <v>2974</v>
      </c>
      <c r="E1310" t="s">
        <v>2975</v>
      </c>
      <c r="F1310" t="e">
        <f>--ds-btn-loading-success-outline-border</f>
        <v>#NAME?</v>
      </c>
      <c r="G1310" t="s">
        <v>138</v>
      </c>
      <c r="H1310" t="s">
        <v>138</v>
      </c>
      <c r="I1310" t="s">
        <v>32</v>
      </c>
      <c r="J1310" t="s">
        <v>24</v>
      </c>
      <c r="K1310" t="s">
        <v>1837</v>
      </c>
      <c r="L1310" t="s">
        <v>2970</v>
      </c>
      <c r="M1310" t="s">
        <v>42</v>
      </c>
      <c r="N1310" t="s">
        <v>2971</v>
      </c>
      <c r="O1310">
        <v>1</v>
      </c>
      <c r="P1310">
        <v>1</v>
      </c>
      <c r="Q1310">
        <v>0</v>
      </c>
      <c r="R1310" s="1">
        <v>46195.684328703705</v>
      </c>
      <c r="S1310" s="1">
        <v>46205.860671296294</v>
      </c>
    </row>
    <row r="1311" spans="1:19" x14ac:dyDescent="0.25">
      <c r="A1311">
        <v>3010110003</v>
      </c>
      <c r="B1311" t="s">
        <v>28</v>
      </c>
      <c r="C1311" t="s">
        <v>29</v>
      </c>
      <c r="D1311" t="s">
        <v>2976</v>
      </c>
      <c r="E1311" t="s">
        <v>2977</v>
      </c>
      <c r="F1311" t="e">
        <f>--ds-btn-loading-success-outline-hover-bg</f>
        <v>#NAME?</v>
      </c>
      <c r="G1311" t="s">
        <v>138</v>
      </c>
      <c r="H1311" t="s">
        <v>138</v>
      </c>
      <c r="I1311" t="s">
        <v>32</v>
      </c>
      <c r="J1311" t="s">
        <v>24</v>
      </c>
      <c r="K1311" t="s">
        <v>1837</v>
      </c>
      <c r="L1311" t="s">
        <v>2970</v>
      </c>
      <c r="M1311" t="s">
        <v>46</v>
      </c>
      <c r="N1311" t="s">
        <v>2971</v>
      </c>
      <c r="O1311">
        <v>1</v>
      </c>
      <c r="P1311">
        <v>1</v>
      </c>
      <c r="Q1311">
        <v>0</v>
      </c>
      <c r="R1311" s="1">
        <v>46195.684328703705</v>
      </c>
      <c r="S1311" s="1">
        <v>46205.860671296294</v>
      </c>
    </row>
    <row r="1312" spans="1:19" x14ac:dyDescent="0.25">
      <c r="A1312">
        <v>3010110004</v>
      </c>
      <c r="B1312" t="s">
        <v>28</v>
      </c>
      <c r="C1312" t="s">
        <v>29</v>
      </c>
      <c r="D1312" t="s">
        <v>2978</v>
      </c>
      <c r="E1312" t="s">
        <v>2979</v>
      </c>
      <c r="F1312" t="e">
        <f>--ds-btn-loading-success-outline-hover-text</f>
        <v>#NAME?</v>
      </c>
      <c r="G1312" t="s">
        <v>37</v>
      </c>
      <c r="H1312" t="s">
        <v>37</v>
      </c>
      <c r="I1312" t="s">
        <v>32</v>
      </c>
      <c r="J1312" t="s">
        <v>24</v>
      </c>
      <c r="K1312" t="s">
        <v>1837</v>
      </c>
      <c r="L1312" t="s">
        <v>2970</v>
      </c>
      <c r="M1312" t="s">
        <v>49</v>
      </c>
      <c r="N1312" t="s">
        <v>2971</v>
      </c>
      <c r="O1312">
        <v>1</v>
      </c>
      <c r="P1312">
        <v>1</v>
      </c>
      <c r="Q1312">
        <v>0</v>
      </c>
      <c r="R1312" s="1">
        <v>46195.684328703705</v>
      </c>
      <c r="S1312" s="1">
        <v>46205.860671296294</v>
      </c>
    </row>
    <row r="1313" spans="1:19" x14ac:dyDescent="0.25">
      <c r="A1313">
        <v>3010110005</v>
      </c>
      <c r="B1313" t="s">
        <v>28</v>
      </c>
      <c r="C1313" t="s">
        <v>29</v>
      </c>
      <c r="D1313" t="s">
        <v>2980</v>
      </c>
      <c r="E1313" t="s">
        <v>2981</v>
      </c>
      <c r="F1313" t="e">
        <f>--ds-btn-loading-success-outline-hover-border</f>
        <v>#NAME?</v>
      </c>
      <c r="G1313" t="s">
        <v>622</v>
      </c>
      <c r="H1313" t="s">
        <v>622</v>
      </c>
      <c r="I1313" t="s">
        <v>32</v>
      </c>
      <c r="J1313" t="s">
        <v>24</v>
      </c>
      <c r="K1313" t="s">
        <v>1837</v>
      </c>
      <c r="L1313" t="s">
        <v>2970</v>
      </c>
      <c r="M1313" t="s">
        <v>53</v>
      </c>
      <c r="N1313" t="s">
        <v>2971</v>
      </c>
      <c r="O1313">
        <v>1</v>
      </c>
      <c r="P1313">
        <v>1</v>
      </c>
      <c r="Q1313">
        <v>0</v>
      </c>
      <c r="R1313" s="1">
        <v>46195.684328703705</v>
      </c>
      <c r="S1313" s="1">
        <v>46205.860671296294</v>
      </c>
    </row>
    <row r="1314" spans="1:19" x14ac:dyDescent="0.25">
      <c r="A1314">
        <v>3010110006</v>
      </c>
      <c r="B1314" t="s">
        <v>28</v>
      </c>
      <c r="C1314" t="s">
        <v>29</v>
      </c>
      <c r="D1314" t="s">
        <v>2982</v>
      </c>
      <c r="E1314" t="s">
        <v>2983</v>
      </c>
      <c r="F1314" t="e">
        <f>--ds-btn-loading-success-outline-disabled-bg</f>
        <v>#NAME?</v>
      </c>
      <c r="G1314" t="s">
        <v>112</v>
      </c>
      <c r="H1314" t="s">
        <v>112</v>
      </c>
      <c r="I1314" t="s">
        <v>32</v>
      </c>
      <c r="J1314" t="s">
        <v>24</v>
      </c>
      <c r="K1314" t="s">
        <v>1837</v>
      </c>
      <c r="L1314" t="s">
        <v>2970</v>
      </c>
      <c r="M1314" t="s">
        <v>57</v>
      </c>
      <c r="N1314" t="s">
        <v>2971</v>
      </c>
      <c r="O1314">
        <v>1</v>
      </c>
      <c r="P1314">
        <v>1</v>
      </c>
      <c r="Q1314">
        <v>0</v>
      </c>
      <c r="R1314" s="1">
        <v>46195.684328703705</v>
      </c>
      <c r="S1314" s="1">
        <v>46205.860671296294</v>
      </c>
    </row>
    <row r="1315" spans="1:19" x14ac:dyDescent="0.25">
      <c r="A1315">
        <v>3010110007</v>
      </c>
      <c r="B1315" t="s">
        <v>28</v>
      </c>
      <c r="C1315" t="s">
        <v>29</v>
      </c>
      <c r="D1315" t="s">
        <v>2984</v>
      </c>
      <c r="E1315" t="s">
        <v>2985</v>
      </c>
      <c r="F1315" t="e">
        <f>--ds-btn-loading-success-outline-disabled-text</f>
        <v>#NAME?</v>
      </c>
      <c r="G1315" t="s">
        <v>60</v>
      </c>
      <c r="H1315" t="s">
        <v>60</v>
      </c>
      <c r="I1315" t="s">
        <v>32</v>
      </c>
      <c r="J1315" t="s">
        <v>24</v>
      </c>
      <c r="K1315" t="s">
        <v>1837</v>
      </c>
      <c r="L1315" t="s">
        <v>2970</v>
      </c>
      <c r="M1315" t="s">
        <v>61</v>
      </c>
      <c r="N1315" t="s">
        <v>2971</v>
      </c>
      <c r="O1315">
        <v>1</v>
      </c>
      <c r="P1315">
        <v>1</v>
      </c>
      <c r="Q1315">
        <v>0</v>
      </c>
      <c r="R1315" s="1">
        <v>46195.684328703705</v>
      </c>
      <c r="S1315" s="1">
        <v>46205.860671296294</v>
      </c>
    </row>
    <row r="1316" spans="1:19" x14ac:dyDescent="0.25">
      <c r="A1316">
        <v>3010110008</v>
      </c>
      <c r="B1316" t="s">
        <v>28</v>
      </c>
      <c r="C1316" t="s">
        <v>29</v>
      </c>
      <c r="D1316" t="s">
        <v>2986</v>
      </c>
      <c r="E1316" t="s">
        <v>2987</v>
      </c>
      <c r="F1316" t="e">
        <f>--ds-btn-loading-success-outline-disabled-border</f>
        <v>#NAME?</v>
      </c>
      <c r="G1316" t="s">
        <v>1260</v>
      </c>
      <c r="H1316" t="s">
        <v>1260</v>
      </c>
      <c r="I1316" t="s">
        <v>32</v>
      </c>
      <c r="J1316" t="s">
        <v>24</v>
      </c>
      <c r="K1316" t="s">
        <v>1837</v>
      </c>
      <c r="L1316" t="s">
        <v>2970</v>
      </c>
      <c r="M1316" t="s">
        <v>65</v>
      </c>
      <c r="N1316" t="s">
        <v>2971</v>
      </c>
      <c r="O1316">
        <v>1</v>
      </c>
      <c r="P1316">
        <v>1</v>
      </c>
      <c r="Q1316">
        <v>0</v>
      </c>
      <c r="R1316" s="1">
        <v>46195.684328703705</v>
      </c>
      <c r="S1316" s="1">
        <v>46205.860671296294</v>
      </c>
    </row>
    <row r="1317" spans="1:19" x14ac:dyDescent="0.25">
      <c r="A1317">
        <v>3010110009</v>
      </c>
      <c r="B1317" t="s">
        <v>28</v>
      </c>
      <c r="C1317" t="s">
        <v>29</v>
      </c>
      <c r="D1317" t="s">
        <v>2988</v>
      </c>
      <c r="E1317" t="s">
        <v>2989</v>
      </c>
      <c r="F1317" t="e">
        <f>--ds-btn-loading-success-outline-spinner-color</f>
        <v>#NAME?</v>
      </c>
      <c r="G1317" t="s">
        <v>138</v>
      </c>
      <c r="H1317" t="s">
        <v>138</v>
      </c>
      <c r="I1317" t="s">
        <v>32</v>
      </c>
      <c r="J1317" t="s">
        <v>24</v>
      </c>
      <c r="K1317" t="s">
        <v>1837</v>
      </c>
      <c r="L1317" t="s">
        <v>2970</v>
      </c>
      <c r="M1317" t="s">
        <v>1857</v>
      </c>
      <c r="N1317" t="s">
        <v>2971</v>
      </c>
      <c r="O1317">
        <v>1</v>
      </c>
      <c r="P1317">
        <v>1</v>
      </c>
      <c r="Q1317">
        <v>0</v>
      </c>
      <c r="R1317" s="1">
        <v>46195.684328703705</v>
      </c>
      <c r="S1317" s="1">
        <v>46205.860671296294</v>
      </c>
    </row>
    <row r="1318" spans="1:19" x14ac:dyDescent="0.25">
      <c r="A1318">
        <v>3010110010</v>
      </c>
      <c r="B1318" t="s">
        <v>28</v>
      </c>
      <c r="C1318" t="s">
        <v>29</v>
      </c>
      <c r="D1318" t="s">
        <v>2990</v>
      </c>
      <c r="E1318" t="s">
        <v>2991</v>
      </c>
      <c r="F1318" t="e">
        <f>--ds-btn-loading-success-outline-spinner-size</f>
        <v>#NAME?</v>
      </c>
      <c r="G1318" t="s">
        <v>105</v>
      </c>
      <c r="H1318" t="s">
        <v>105</v>
      </c>
      <c r="I1318" t="s">
        <v>32</v>
      </c>
      <c r="J1318" t="s">
        <v>78</v>
      </c>
      <c r="K1318" t="s">
        <v>1837</v>
      </c>
      <c r="L1318" t="s">
        <v>2970</v>
      </c>
      <c r="M1318" t="s">
        <v>1860</v>
      </c>
      <c r="N1318" t="s">
        <v>2971</v>
      </c>
      <c r="O1318">
        <v>1</v>
      </c>
      <c r="P1318">
        <v>0</v>
      </c>
      <c r="Q1318">
        <v>0</v>
      </c>
      <c r="R1318" s="1">
        <v>46195.684328703705</v>
      </c>
      <c r="S1318" s="1">
        <v>46205.860671296294</v>
      </c>
    </row>
    <row r="1319" spans="1:19" x14ac:dyDescent="0.25">
      <c r="A1319">
        <v>3010110011</v>
      </c>
      <c r="B1319" t="s">
        <v>28</v>
      </c>
      <c r="C1319" t="s">
        <v>29</v>
      </c>
      <c r="D1319" t="s">
        <v>2992</v>
      </c>
      <c r="E1319" t="s">
        <v>2993</v>
      </c>
      <c r="F1319" t="e">
        <f>--ds-btn-loading-success-outline-padding-x</f>
        <v>#NAME?</v>
      </c>
      <c r="G1319" t="s">
        <v>77</v>
      </c>
      <c r="H1319" t="s">
        <v>77</v>
      </c>
      <c r="I1319" t="s">
        <v>32</v>
      </c>
      <c r="J1319" t="s">
        <v>78</v>
      </c>
      <c r="K1319" t="s">
        <v>1837</v>
      </c>
      <c r="L1319" t="s">
        <v>2970</v>
      </c>
      <c r="M1319" t="s">
        <v>79</v>
      </c>
      <c r="N1319" t="s">
        <v>2971</v>
      </c>
      <c r="O1319">
        <v>1</v>
      </c>
      <c r="P1319">
        <v>0</v>
      </c>
      <c r="Q1319">
        <v>0</v>
      </c>
      <c r="R1319" s="1">
        <v>46195.684328703705</v>
      </c>
      <c r="S1319" s="1">
        <v>46205.860671296294</v>
      </c>
    </row>
    <row r="1320" spans="1:19" x14ac:dyDescent="0.25">
      <c r="A1320">
        <v>3010110012</v>
      </c>
      <c r="B1320" t="s">
        <v>28</v>
      </c>
      <c r="C1320" t="s">
        <v>29</v>
      </c>
      <c r="D1320" t="s">
        <v>2994</v>
      </c>
      <c r="E1320" t="s">
        <v>2995</v>
      </c>
      <c r="F1320" t="e">
        <f>--ds-btn-loading-success-outline-padding-y</f>
        <v>#NAME?</v>
      </c>
      <c r="G1320" t="s">
        <v>82</v>
      </c>
      <c r="H1320" t="s">
        <v>82</v>
      </c>
      <c r="I1320" t="s">
        <v>32</v>
      </c>
      <c r="J1320" t="s">
        <v>78</v>
      </c>
      <c r="K1320" t="s">
        <v>1837</v>
      </c>
      <c r="L1320" t="s">
        <v>2970</v>
      </c>
      <c r="M1320" t="s">
        <v>83</v>
      </c>
      <c r="N1320" t="s">
        <v>2971</v>
      </c>
      <c r="O1320">
        <v>1</v>
      </c>
      <c r="P1320">
        <v>0</v>
      </c>
      <c r="Q1320">
        <v>0</v>
      </c>
      <c r="R1320" s="1">
        <v>46195.684328703705</v>
      </c>
      <c r="S1320" s="1">
        <v>46205.860671296294</v>
      </c>
    </row>
    <row r="1321" spans="1:19" x14ac:dyDescent="0.25">
      <c r="A1321">
        <v>3010110013</v>
      </c>
      <c r="B1321" t="s">
        <v>28</v>
      </c>
      <c r="C1321" t="s">
        <v>29</v>
      </c>
      <c r="D1321" t="s">
        <v>2996</v>
      </c>
      <c r="E1321" t="s">
        <v>2997</v>
      </c>
      <c r="F1321" t="e">
        <f>--ds-btn-loading-success-outline-gap</f>
        <v>#NAME?</v>
      </c>
      <c r="G1321" t="s">
        <v>86</v>
      </c>
      <c r="H1321" t="s">
        <v>86</v>
      </c>
      <c r="I1321" t="s">
        <v>32</v>
      </c>
      <c r="J1321" t="s">
        <v>78</v>
      </c>
      <c r="K1321" t="s">
        <v>1837</v>
      </c>
      <c r="L1321" t="s">
        <v>2970</v>
      </c>
      <c r="M1321" t="s">
        <v>87</v>
      </c>
      <c r="N1321" t="s">
        <v>2971</v>
      </c>
      <c r="O1321">
        <v>1</v>
      </c>
      <c r="P1321">
        <v>0</v>
      </c>
      <c r="Q1321">
        <v>0</v>
      </c>
      <c r="R1321" s="1">
        <v>46195.684328703705</v>
      </c>
      <c r="S1321" s="1">
        <v>46205.860671296294</v>
      </c>
    </row>
    <row r="1322" spans="1:19" x14ac:dyDescent="0.25">
      <c r="A1322">
        <v>3010110014</v>
      </c>
      <c r="B1322" t="s">
        <v>28</v>
      </c>
      <c r="C1322" t="s">
        <v>29</v>
      </c>
      <c r="D1322" t="s">
        <v>2998</v>
      </c>
      <c r="E1322" t="s">
        <v>2999</v>
      </c>
      <c r="F1322" t="e">
        <f>--ds-btn-loading-success-outline-focus-ring</f>
        <v>#NAME?</v>
      </c>
      <c r="G1322" t="s">
        <v>1273</v>
      </c>
      <c r="H1322" t="s">
        <v>1273</v>
      </c>
      <c r="I1322" t="s">
        <v>32</v>
      </c>
      <c r="J1322" t="s">
        <v>69</v>
      </c>
      <c r="K1322" t="s">
        <v>1837</v>
      </c>
      <c r="L1322" t="s">
        <v>2970</v>
      </c>
      <c r="M1322" t="s">
        <v>91</v>
      </c>
      <c r="N1322" t="s">
        <v>2971</v>
      </c>
      <c r="O1322">
        <v>1</v>
      </c>
      <c r="P1322">
        <v>0</v>
      </c>
      <c r="Q1322">
        <v>0</v>
      </c>
      <c r="R1322" s="1">
        <v>46195.684328703705</v>
      </c>
      <c r="S1322" s="1">
        <v>46205.860671296294</v>
      </c>
    </row>
    <row r="1323" spans="1:19" x14ac:dyDescent="0.25">
      <c r="A1323">
        <v>3010110015</v>
      </c>
      <c r="B1323" t="s">
        <v>28</v>
      </c>
      <c r="C1323" t="s">
        <v>29</v>
      </c>
      <c r="D1323" t="s">
        <v>3000</v>
      </c>
      <c r="E1323" t="s">
        <v>3001</v>
      </c>
      <c r="F1323" t="e">
        <f>--ds-btn-loading-success-outline-outline</f>
        <v>#NAME?</v>
      </c>
      <c r="G1323" t="s">
        <v>94</v>
      </c>
      <c r="H1323" t="s">
        <v>94</v>
      </c>
      <c r="I1323" t="s">
        <v>32</v>
      </c>
      <c r="J1323" t="s">
        <v>69</v>
      </c>
      <c r="K1323" t="s">
        <v>1837</v>
      </c>
      <c r="L1323" t="s">
        <v>2970</v>
      </c>
      <c r="M1323" t="s">
        <v>95</v>
      </c>
      <c r="N1323" t="s">
        <v>2971</v>
      </c>
      <c r="O1323">
        <v>1</v>
      </c>
      <c r="P1323">
        <v>0</v>
      </c>
      <c r="Q1323">
        <v>0</v>
      </c>
      <c r="R1323" s="1">
        <v>46195.684328703705</v>
      </c>
      <c r="S1323" s="1">
        <v>46205.860671296294</v>
      </c>
    </row>
    <row r="1324" spans="1:19" x14ac:dyDescent="0.25">
      <c r="A1324">
        <v>3010110016</v>
      </c>
      <c r="B1324" t="s">
        <v>28</v>
      </c>
      <c r="C1324" t="s">
        <v>29</v>
      </c>
      <c r="D1324" t="s">
        <v>3002</v>
      </c>
      <c r="E1324" t="s">
        <v>3003</v>
      </c>
      <c r="F1324" t="e">
        <f>--ds-btn-loading-success-outline-transition</f>
        <v>#NAME?</v>
      </c>
      <c r="G1324" t="s">
        <v>98</v>
      </c>
      <c r="H1324" t="s">
        <v>98</v>
      </c>
      <c r="I1324" t="s">
        <v>32</v>
      </c>
      <c r="J1324" t="s">
        <v>69</v>
      </c>
      <c r="K1324" t="s">
        <v>1837</v>
      </c>
      <c r="L1324" t="s">
        <v>2970</v>
      </c>
      <c r="M1324" t="s">
        <v>99</v>
      </c>
      <c r="N1324" t="s">
        <v>2971</v>
      </c>
      <c r="O1324">
        <v>1</v>
      </c>
      <c r="P1324">
        <v>0</v>
      </c>
      <c r="Q1324">
        <v>0</v>
      </c>
      <c r="R1324" s="1">
        <v>46195.684328703705</v>
      </c>
      <c r="S1324" s="1">
        <v>46205.860671296294</v>
      </c>
    </row>
    <row r="1325" spans="1:19" x14ac:dyDescent="0.25">
      <c r="A1325">
        <v>3010110017</v>
      </c>
      <c r="B1325" t="s">
        <v>28</v>
      </c>
      <c r="C1325" t="s">
        <v>29</v>
      </c>
      <c r="D1325" t="s">
        <v>3004</v>
      </c>
      <c r="E1325" t="s">
        <v>3005</v>
      </c>
      <c r="F1325" t="e">
        <f>--ds-btn-loading-success-outline-icon-color</f>
        <v>#NAME?</v>
      </c>
      <c r="G1325" t="s">
        <v>138</v>
      </c>
      <c r="H1325" t="s">
        <v>138</v>
      </c>
      <c r="I1325" t="s">
        <v>32</v>
      </c>
      <c r="J1325" t="s">
        <v>24</v>
      </c>
      <c r="K1325" t="s">
        <v>1837</v>
      </c>
      <c r="L1325" t="s">
        <v>2970</v>
      </c>
      <c r="M1325" t="s">
        <v>102</v>
      </c>
      <c r="N1325" t="s">
        <v>2971</v>
      </c>
      <c r="O1325">
        <v>1</v>
      </c>
      <c r="P1325">
        <v>0</v>
      </c>
      <c r="Q1325">
        <v>0</v>
      </c>
      <c r="R1325" s="1">
        <v>46195.684328703705</v>
      </c>
      <c r="S1325" s="1">
        <v>46205.860671296294</v>
      </c>
    </row>
    <row r="1326" spans="1:19" x14ac:dyDescent="0.25">
      <c r="A1326">
        <v>3010110018</v>
      </c>
      <c r="B1326" t="s">
        <v>28</v>
      </c>
      <c r="C1326" t="s">
        <v>29</v>
      </c>
      <c r="D1326" t="s">
        <v>3006</v>
      </c>
      <c r="E1326" t="s">
        <v>3007</v>
      </c>
      <c r="F1326" t="e">
        <f>--ds-btn-loading-success-outline-icon-size</f>
        <v>#NAME?</v>
      </c>
      <c r="G1326" t="s">
        <v>105</v>
      </c>
      <c r="H1326" t="s">
        <v>105</v>
      </c>
      <c r="I1326" t="s">
        <v>32</v>
      </c>
      <c r="J1326" t="s">
        <v>78</v>
      </c>
      <c r="K1326" t="s">
        <v>1837</v>
      </c>
      <c r="L1326" t="s">
        <v>2970</v>
      </c>
      <c r="M1326" t="s">
        <v>106</v>
      </c>
      <c r="N1326" t="s">
        <v>2971</v>
      </c>
      <c r="O1326">
        <v>1</v>
      </c>
      <c r="P1326">
        <v>0</v>
      </c>
      <c r="Q1326">
        <v>0</v>
      </c>
      <c r="R1326" s="1">
        <v>46195.684328703705</v>
      </c>
      <c r="S1326" s="1">
        <v>46205.860671296294</v>
      </c>
    </row>
    <row r="1327" spans="1:19" x14ac:dyDescent="0.25">
      <c r="A1327">
        <v>3010110019</v>
      </c>
      <c r="B1327" t="s">
        <v>28</v>
      </c>
      <c r="C1327" t="s">
        <v>29</v>
      </c>
      <c r="D1327" t="s">
        <v>3008</v>
      </c>
      <c r="E1327" t="s">
        <v>3009</v>
      </c>
      <c r="F1327" t="e">
        <f>--ds-btn-loading-success-outline-line-height</f>
        <v>#NAME?</v>
      </c>
      <c r="G1327">
        <v>1.2</v>
      </c>
      <c r="H1327">
        <v>1.2</v>
      </c>
      <c r="I1327" t="s">
        <v>32</v>
      </c>
      <c r="J1327" t="s">
        <v>78</v>
      </c>
      <c r="K1327" t="s">
        <v>1837</v>
      </c>
      <c r="L1327" t="s">
        <v>2970</v>
      </c>
      <c r="M1327" t="s">
        <v>109</v>
      </c>
      <c r="N1327" t="s">
        <v>2971</v>
      </c>
      <c r="O1327">
        <v>1</v>
      </c>
      <c r="P1327">
        <v>0</v>
      </c>
      <c r="Q1327">
        <v>0</v>
      </c>
      <c r="R1327" s="1">
        <v>46195.684328703705</v>
      </c>
      <c r="S1327" s="1">
        <v>46205.860671296294</v>
      </c>
    </row>
    <row r="1328" spans="1:19" x14ac:dyDescent="0.25">
      <c r="A1328">
        <v>3010110100</v>
      </c>
      <c r="B1328" t="s">
        <v>28</v>
      </c>
      <c r="C1328" t="s">
        <v>29</v>
      </c>
      <c r="D1328" t="s">
        <v>3010</v>
      </c>
      <c r="E1328" t="s">
        <v>3011</v>
      </c>
      <c r="F1328" t="e">
        <f>--ds-btn-loading-danger-outline-bg</f>
        <v>#NAME?</v>
      </c>
      <c r="G1328" t="s">
        <v>112</v>
      </c>
      <c r="H1328" t="s">
        <v>112</v>
      </c>
      <c r="I1328" t="s">
        <v>32</v>
      </c>
      <c r="J1328" t="s">
        <v>24</v>
      </c>
      <c r="K1328" t="s">
        <v>1837</v>
      </c>
      <c r="L1328" t="s">
        <v>3012</v>
      </c>
      <c r="M1328" t="s">
        <v>26</v>
      </c>
      <c r="N1328" t="s">
        <v>3013</v>
      </c>
      <c r="O1328">
        <v>1</v>
      </c>
      <c r="P1328">
        <v>1</v>
      </c>
      <c r="Q1328">
        <v>0</v>
      </c>
      <c r="R1328" s="1">
        <v>46195.684895833336</v>
      </c>
      <c r="S1328" s="1">
        <v>46205.860671296294</v>
      </c>
    </row>
    <row r="1329" spans="1:19" x14ac:dyDescent="0.25">
      <c r="A1329">
        <v>3010110101</v>
      </c>
      <c r="B1329" t="s">
        <v>28</v>
      </c>
      <c r="C1329" t="s">
        <v>29</v>
      </c>
      <c r="D1329" t="s">
        <v>3014</v>
      </c>
      <c r="E1329" t="s">
        <v>3015</v>
      </c>
      <c r="F1329" t="e">
        <f>--ds-btn-loading-danger-outline-text</f>
        <v>#NAME?</v>
      </c>
      <c r="G1329" t="s">
        <v>160</v>
      </c>
      <c r="H1329" t="s">
        <v>160</v>
      </c>
      <c r="I1329" t="s">
        <v>32</v>
      </c>
      <c r="J1329" t="s">
        <v>24</v>
      </c>
      <c r="K1329" t="s">
        <v>1837</v>
      </c>
      <c r="L1329" t="s">
        <v>3012</v>
      </c>
      <c r="M1329" t="s">
        <v>38</v>
      </c>
      <c r="N1329" t="s">
        <v>3013</v>
      </c>
      <c r="O1329">
        <v>1</v>
      </c>
      <c r="P1329">
        <v>1</v>
      </c>
      <c r="Q1329">
        <v>0</v>
      </c>
      <c r="R1329" s="1">
        <v>46195.684895833336</v>
      </c>
      <c r="S1329" s="1">
        <v>46205.860671296294</v>
      </c>
    </row>
    <row r="1330" spans="1:19" x14ac:dyDescent="0.25">
      <c r="A1330">
        <v>3010110102</v>
      </c>
      <c r="B1330" t="s">
        <v>28</v>
      </c>
      <c r="C1330" t="s">
        <v>29</v>
      </c>
      <c r="D1330" t="s">
        <v>3016</v>
      </c>
      <c r="E1330" t="s">
        <v>3017</v>
      </c>
      <c r="F1330" t="e">
        <f>--ds-btn-loading-danger-outline-border</f>
        <v>#NAME?</v>
      </c>
      <c r="G1330" t="s">
        <v>160</v>
      </c>
      <c r="H1330" t="s">
        <v>160</v>
      </c>
      <c r="I1330" t="s">
        <v>32</v>
      </c>
      <c r="J1330" t="s">
        <v>24</v>
      </c>
      <c r="K1330" t="s">
        <v>1837</v>
      </c>
      <c r="L1330" t="s">
        <v>3012</v>
      </c>
      <c r="M1330" t="s">
        <v>42</v>
      </c>
      <c r="N1330" t="s">
        <v>3013</v>
      </c>
      <c r="O1330">
        <v>1</v>
      </c>
      <c r="P1330">
        <v>1</v>
      </c>
      <c r="Q1330">
        <v>0</v>
      </c>
      <c r="R1330" s="1">
        <v>46195.684895833336</v>
      </c>
      <c r="S1330" s="1">
        <v>46205.860671296294</v>
      </c>
    </row>
    <row r="1331" spans="1:19" x14ac:dyDescent="0.25">
      <c r="A1331">
        <v>3010110103</v>
      </c>
      <c r="B1331" t="s">
        <v>28</v>
      </c>
      <c r="C1331" t="s">
        <v>29</v>
      </c>
      <c r="D1331" t="s">
        <v>3018</v>
      </c>
      <c r="E1331" t="s">
        <v>3019</v>
      </c>
      <c r="F1331" t="e">
        <f>--ds-btn-loading-danger-outline-hover-bg</f>
        <v>#NAME?</v>
      </c>
      <c r="G1331" t="s">
        <v>160</v>
      </c>
      <c r="H1331" t="s">
        <v>160</v>
      </c>
      <c r="I1331" t="s">
        <v>32</v>
      </c>
      <c r="J1331" t="s">
        <v>24</v>
      </c>
      <c r="K1331" t="s">
        <v>1837</v>
      </c>
      <c r="L1331" t="s">
        <v>3012</v>
      </c>
      <c r="M1331" t="s">
        <v>46</v>
      </c>
      <c r="N1331" t="s">
        <v>3013</v>
      </c>
      <c r="O1331">
        <v>1</v>
      </c>
      <c r="P1331">
        <v>1</v>
      </c>
      <c r="Q1331">
        <v>0</v>
      </c>
      <c r="R1331" s="1">
        <v>46195.684895833336</v>
      </c>
      <c r="S1331" s="1">
        <v>46205.860671296294</v>
      </c>
    </row>
    <row r="1332" spans="1:19" x14ac:dyDescent="0.25">
      <c r="A1332">
        <v>3010110104</v>
      </c>
      <c r="B1332" t="s">
        <v>28</v>
      </c>
      <c r="C1332" t="s">
        <v>29</v>
      </c>
      <c r="D1332" t="s">
        <v>3020</v>
      </c>
      <c r="E1332" t="s">
        <v>3021</v>
      </c>
      <c r="F1332" t="e">
        <f>--ds-btn-loading-danger-outline-hover-text</f>
        <v>#NAME?</v>
      </c>
      <c r="G1332" t="s">
        <v>37</v>
      </c>
      <c r="H1332" t="s">
        <v>37</v>
      </c>
      <c r="I1332" t="s">
        <v>32</v>
      </c>
      <c r="J1332" t="s">
        <v>24</v>
      </c>
      <c r="K1332" t="s">
        <v>1837</v>
      </c>
      <c r="L1332" t="s">
        <v>3012</v>
      </c>
      <c r="M1332" t="s">
        <v>49</v>
      </c>
      <c r="N1332" t="s">
        <v>3013</v>
      </c>
      <c r="O1332">
        <v>1</v>
      </c>
      <c r="P1332">
        <v>1</v>
      </c>
      <c r="Q1332">
        <v>0</v>
      </c>
      <c r="R1332" s="1">
        <v>46195.684895833336</v>
      </c>
      <c r="S1332" s="1">
        <v>46205.860671296294</v>
      </c>
    </row>
    <row r="1333" spans="1:19" x14ac:dyDescent="0.25">
      <c r="A1333">
        <v>3010110105</v>
      </c>
      <c r="B1333" t="s">
        <v>28</v>
      </c>
      <c r="C1333" t="s">
        <v>29</v>
      </c>
      <c r="D1333" t="s">
        <v>3022</v>
      </c>
      <c r="E1333" t="s">
        <v>3023</v>
      </c>
      <c r="F1333" t="e">
        <f>--ds-btn-loading-danger-outline-hover-border</f>
        <v>#NAME?</v>
      </c>
      <c r="G1333" t="s">
        <v>955</v>
      </c>
      <c r="H1333" t="s">
        <v>955</v>
      </c>
      <c r="I1333" t="s">
        <v>32</v>
      </c>
      <c r="J1333" t="s">
        <v>24</v>
      </c>
      <c r="K1333" t="s">
        <v>1837</v>
      </c>
      <c r="L1333" t="s">
        <v>3012</v>
      </c>
      <c r="M1333" t="s">
        <v>53</v>
      </c>
      <c r="N1333" t="s">
        <v>3013</v>
      </c>
      <c r="O1333">
        <v>1</v>
      </c>
      <c r="P1333">
        <v>1</v>
      </c>
      <c r="Q1333">
        <v>0</v>
      </c>
      <c r="R1333" s="1">
        <v>46195.684895833336</v>
      </c>
      <c r="S1333" s="1">
        <v>46205.860671296294</v>
      </c>
    </row>
    <row r="1334" spans="1:19" x14ac:dyDescent="0.25">
      <c r="A1334">
        <v>3010110106</v>
      </c>
      <c r="B1334" t="s">
        <v>28</v>
      </c>
      <c r="C1334" t="s">
        <v>29</v>
      </c>
      <c r="D1334" t="s">
        <v>3024</v>
      </c>
      <c r="E1334" t="s">
        <v>3025</v>
      </c>
      <c r="F1334" t="e">
        <f>--ds-btn-loading-danger-outline-disabled-bg</f>
        <v>#NAME?</v>
      </c>
      <c r="G1334" t="s">
        <v>112</v>
      </c>
      <c r="H1334" t="s">
        <v>112</v>
      </c>
      <c r="I1334" t="s">
        <v>32</v>
      </c>
      <c r="J1334" t="s">
        <v>24</v>
      </c>
      <c r="K1334" t="s">
        <v>1837</v>
      </c>
      <c r="L1334" t="s">
        <v>3012</v>
      </c>
      <c r="M1334" t="s">
        <v>57</v>
      </c>
      <c r="N1334" t="s">
        <v>3013</v>
      </c>
      <c r="O1334">
        <v>1</v>
      </c>
      <c r="P1334">
        <v>1</v>
      </c>
      <c r="Q1334">
        <v>0</v>
      </c>
      <c r="R1334" s="1">
        <v>46195.684895833336</v>
      </c>
      <c r="S1334" s="1">
        <v>46205.860671296294</v>
      </c>
    </row>
    <row r="1335" spans="1:19" x14ac:dyDescent="0.25">
      <c r="A1335">
        <v>3010110107</v>
      </c>
      <c r="B1335" t="s">
        <v>28</v>
      </c>
      <c r="C1335" t="s">
        <v>29</v>
      </c>
      <c r="D1335" t="s">
        <v>3026</v>
      </c>
      <c r="E1335" t="s">
        <v>3027</v>
      </c>
      <c r="F1335" t="e">
        <f>--ds-btn-loading-danger-outline-disabled-text</f>
        <v>#NAME?</v>
      </c>
      <c r="G1335" t="s">
        <v>60</v>
      </c>
      <c r="H1335" t="s">
        <v>60</v>
      </c>
      <c r="I1335" t="s">
        <v>32</v>
      </c>
      <c r="J1335" t="s">
        <v>24</v>
      </c>
      <c r="K1335" t="s">
        <v>1837</v>
      </c>
      <c r="L1335" t="s">
        <v>3012</v>
      </c>
      <c r="M1335" t="s">
        <v>61</v>
      </c>
      <c r="N1335" t="s">
        <v>3013</v>
      </c>
      <c r="O1335">
        <v>1</v>
      </c>
      <c r="P1335">
        <v>1</v>
      </c>
      <c r="Q1335">
        <v>0</v>
      </c>
      <c r="R1335" s="1">
        <v>46195.684895833336</v>
      </c>
      <c r="S1335" s="1">
        <v>46205.860671296294</v>
      </c>
    </row>
    <row r="1336" spans="1:19" x14ac:dyDescent="0.25">
      <c r="A1336">
        <v>3010110108</v>
      </c>
      <c r="B1336" t="s">
        <v>28</v>
      </c>
      <c r="C1336" t="s">
        <v>29</v>
      </c>
      <c r="D1336" t="s">
        <v>3028</v>
      </c>
      <c r="E1336" t="s">
        <v>3029</v>
      </c>
      <c r="F1336" t="e">
        <f>--ds-btn-loading-danger-outline-disabled-border</f>
        <v>#NAME?</v>
      </c>
      <c r="G1336" t="s">
        <v>1303</v>
      </c>
      <c r="H1336" t="s">
        <v>1303</v>
      </c>
      <c r="I1336" t="s">
        <v>32</v>
      </c>
      <c r="J1336" t="s">
        <v>24</v>
      </c>
      <c r="K1336" t="s">
        <v>1837</v>
      </c>
      <c r="L1336" t="s">
        <v>3012</v>
      </c>
      <c r="M1336" t="s">
        <v>65</v>
      </c>
      <c r="N1336" t="s">
        <v>3013</v>
      </c>
      <c r="O1336">
        <v>1</v>
      </c>
      <c r="P1336">
        <v>1</v>
      </c>
      <c r="Q1336">
        <v>0</v>
      </c>
      <c r="R1336" s="1">
        <v>46195.684895833336</v>
      </c>
      <c r="S1336" s="1">
        <v>46205.860671296294</v>
      </c>
    </row>
    <row r="1337" spans="1:19" x14ac:dyDescent="0.25">
      <c r="A1337">
        <v>3010110109</v>
      </c>
      <c r="B1337" t="s">
        <v>28</v>
      </c>
      <c r="C1337" t="s">
        <v>29</v>
      </c>
      <c r="D1337" t="s">
        <v>3030</v>
      </c>
      <c r="E1337" t="s">
        <v>3031</v>
      </c>
      <c r="F1337" t="e">
        <f>--ds-btn-loading-danger-outline-spinner-color</f>
        <v>#NAME?</v>
      </c>
      <c r="G1337" t="s">
        <v>160</v>
      </c>
      <c r="H1337" t="s">
        <v>160</v>
      </c>
      <c r="I1337" t="s">
        <v>32</v>
      </c>
      <c r="J1337" t="s">
        <v>24</v>
      </c>
      <c r="K1337" t="s">
        <v>1837</v>
      </c>
      <c r="L1337" t="s">
        <v>3012</v>
      </c>
      <c r="M1337" t="s">
        <v>1857</v>
      </c>
      <c r="N1337" t="s">
        <v>3013</v>
      </c>
      <c r="O1337">
        <v>1</v>
      </c>
      <c r="P1337">
        <v>1</v>
      </c>
      <c r="Q1337">
        <v>0</v>
      </c>
      <c r="R1337" s="1">
        <v>46195.684895833336</v>
      </c>
      <c r="S1337" s="1">
        <v>46205.860671296294</v>
      </c>
    </row>
    <row r="1338" spans="1:19" x14ac:dyDescent="0.25">
      <c r="A1338">
        <v>3010110110</v>
      </c>
      <c r="B1338" t="s">
        <v>28</v>
      </c>
      <c r="C1338" t="s">
        <v>29</v>
      </c>
      <c r="D1338" t="s">
        <v>3032</v>
      </c>
      <c r="E1338" t="s">
        <v>3033</v>
      </c>
      <c r="F1338" t="e">
        <f>--ds-btn-loading-danger-outline-spinner-size</f>
        <v>#NAME?</v>
      </c>
      <c r="G1338" t="s">
        <v>105</v>
      </c>
      <c r="H1338" t="s">
        <v>105</v>
      </c>
      <c r="I1338" t="s">
        <v>32</v>
      </c>
      <c r="J1338" t="s">
        <v>78</v>
      </c>
      <c r="K1338" t="s">
        <v>1837</v>
      </c>
      <c r="L1338" t="s">
        <v>3012</v>
      </c>
      <c r="M1338" t="s">
        <v>1860</v>
      </c>
      <c r="N1338" t="s">
        <v>3013</v>
      </c>
      <c r="O1338">
        <v>1</v>
      </c>
      <c r="P1338">
        <v>0</v>
      </c>
      <c r="Q1338">
        <v>0</v>
      </c>
      <c r="R1338" s="1">
        <v>46195.684895833336</v>
      </c>
      <c r="S1338" s="1">
        <v>46205.860671296294</v>
      </c>
    </row>
    <row r="1339" spans="1:19" x14ac:dyDescent="0.25">
      <c r="A1339">
        <v>3010110111</v>
      </c>
      <c r="B1339" t="s">
        <v>28</v>
      </c>
      <c r="C1339" t="s">
        <v>29</v>
      </c>
      <c r="D1339" t="s">
        <v>3034</v>
      </c>
      <c r="E1339" t="s">
        <v>3035</v>
      </c>
      <c r="F1339" t="e">
        <f>--ds-btn-loading-danger-outline-padding-x</f>
        <v>#NAME?</v>
      </c>
      <c r="G1339" t="s">
        <v>77</v>
      </c>
      <c r="H1339" t="s">
        <v>77</v>
      </c>
      <c r="I1339" t="s">
        <v>32</v>
      </c>
      <c r="J1339" t="s">
        <v>78</v>
      </c>
      <c r="K1339" t="s">
        <v>1837</v>
      </c>
      <c r="L1339" t="s">
        <v>3012</v>
      </c>
      <c r="M1339" t="s">
        <v>79</v>
      </c>
      <c r="N1339" t="s">
        <v>3013</v>
      </c>
      <c r="O1339">
        <v>1</v>
      </c>
      <c r="P1339">
        <v>0</v>
      </c>
      <c r="Q1339">
        <v>0</v>
      </c>
      <c r="R1339" s="1">
        <v>46195.684895833336</v>
      </c>
      <c r="S1339" s="1">
        <v>46205.860671296294</v>
      </c>
    </row>
    <row r="1340" spans="1:19" x14ac:dyDescent="0.25">
      <c r="A1340">
        <v>3010110112</v>
      </c>
      <c r="B1340" t="s">
        <v>28</v>
      </c>
      <c r="C1340" t="s">
        <v>29</v>
      </c>
      <c r="D1340" t="s">
        <v>3036</v>
      </c>
      <c r="E1340" t="s">
        <v>3037</v>
      </c>
      <c r="F1340" t="e">
        <f>--ds-btn-loading-danger-outline-padding-y</f>
        <v>#NAME?</v>
      </c>
      <c r="G1340" t="s">
        <v>82</v>
      </c>
      <c r="H1340" t="s">
        <v>82</v>
      </c>
      <c r="I1340" t="s">
        <v>32</v>
      </c>
      <c r="J1340" t="s">
        <v>78</v>
      </c>
      <c r="K1340" t="s">
        <v>1837</v>
      </c>
      <c r="L1340" t="s">
        <v>3012</v>
      </c>
      <c r="M1340" t="s">
        <v>83</v>
      </c>
      <c r="N1340" t="s">
        <v>3013</v>
      </c>
      <c r="O1340">
        <v>1</v>
      </c>
      <c r="P1340">
        <v>0</v>
      </c>
      <c r="Q1340">
        <v>0</v>
      </c>
      <c r="R1340" s="1">
        <v>46195.684895833336</v>
      </c>
      <c r="S1340" s="1">
        <v>46205.860671296294</v>
      </c>
    </row>
    <row r="1341" spans="1:19" x14ac:dyDescent="0.25">
      <c r="A1341">
        <v>3010110113</v>
      </c>
      <c r="B1341" t="s">
        <v>28</v>
      </c>
      <c r="C1341" t="s">
        <v>29</v>
      </c>
      <c r="D1341" t="s">
        <v>3038</v>
      </c>
      <c r="E1341" t="s">
        <v>3039</v>
      </c>
      <c r="F1341" t="e">
        <f>--ds-btn-loading-danger-outline-gap</f>
        <v>#NAME?</v>
      </c>
      <c r="G1341" t="s">
        <v>86</v>
      </c>
      <c r="H1341" t="s">
        <v>86</v>
      </c>
      <c r="I1341" t="s">
        <v>32</v>
      </c>
      <c r="J1341" t="s">
        <v>78</v>
      </c>
      <c r="K1341" t="s">
        <v>1837</v>
      </c>
      <c r="L1341" t="s">
        <v>3012</v>
      </c>
      <c r="M1341" t="s">
        <v>87</v>
      </c>
      <c r="N1341" t="s">
        <v>3013</v>
      </c>
      <c r="O1341">
        <v>1</v>
      </c>
      <c r="P1341">
        <v>0</v>
      </c>
      <c r="Q1341">
        <v>0</v>
      </c>
      <c r="R1341" s="1">
        <v>46195.684895833336</v>
      </c>
      <c r="S1341" s="1">
        <v>46205.860671296294</v>
      </c>
    </row>
    <row r="1342" spans="1:19" x14ac:dyDescent="0.25">
      <c r="A1342">
        <v>3010110114</v>
      </c>
      <c r="B1342" t="s">
        <v>28</v>
      </c>
      <c r="C1342" t="s">
        <v>29</v>
      </c>
      <c r="D1342" t="s">
        <v>3040</v>
      </c>
      <c r="E1342" t="s">
        <v>3041</v>
      </c>
      <c r="F1342" t="e">
        <f>--ds-btn-loading-danger-outline-focus-ring</f>
        <v>#NAME?</v>
      </c>
      <c r="G1342" t="s">
        <v>1316</v>
      </c>
      <c r="H1342" t="s">
        <v>1316</v>
      </c>
      <c r="I1342" t="s">
        <v>32</v>
      </c>
      <c r="J1342" t="s">
        <v>69</v>
      </c>
      <c r="K1342" t="s">
        <v>1837</v>
      </c>
      <c r="L1342" t="s">
        <v>3012</v>
      </c>
      <c r="M1342" t="s">
        <v>91</v>
      </c>
      <c r="N1342" t="s">
        <v>3013</v>
      </c>
      <c r="O1342">
        <v>1</v>
      </c>
      <c r="P1342">
        <v>0</v>
      </c>
      <c r="Q1342">
        <v>0</v>
      </c>
      <c r="R1342" s="1">
        <v>46195.684895833336</v>
      </c>
      <c r="S1342" s="1">
        <v>46205.860671296294</v>
      </c>
    </row>
    <row r="1343" spans="1:19" x14ac:dyDescent="0.25">
      <c r="A1343">
        <v>3010110115</v>
      </c>
      <c r="B1343" t="s">
        <v>28</v>
      </c>
      <c r="C1343" t="s">
        <v>29</v>
      </c>
      <c r="D1343" t="s">
        <v>3042</v>
      </c>
      <c r="E1343" t="s">
        <v>3043</v>
      </c>
      <c r="F1343" t="e">
        <f>--ds-btn-loading-danger-outline-outline</f>
        <v>#NAME?</v>
      </c>
      <c r="G1343" t="s">
        <v>94</v>
      </c>
      <c r="H1343" t="s">
        <v>94</v>
      </c>
      <c r="I1343" t="s">
        <v>32</v>
      </c>
      <c r="J1343" t="s">
        <v>69</v>
      </c>
      <c r="K1343" t="s">
        <v>1837</v>
      </c>
      <c r="L1343" t="s">
        <v>3012</v>
      </c>
      <c r="M1343" t="s">
        <v>95</v>
      </c>
      <c r="N1343" t="s">
        <v>3013</v>
      </c>
      <c r="O1343">
        <v>1</v>
      </c>
      <c r="P1343">
        <v>0</v>
      </c>
      <c r="Q1343">
        <v>0</v>
      </c>
      <c r="R1343" s="1">
        <v>46195.684895833336</v>
      </c>
      <c r="S1343" s="1">
        <v>46205.860671296294</v>
      </c>
    </row>
    <row r="1344" spans="1:19" x14ac:dyDescent="0.25">
      <c r="A1344">
        <v>3010110116</v>
      </c>
      <c r="B1344" t="s">
        <v>28</v>
      </c>
      <c r="C1344" t="s">
        <v>29</v>
      </c>
      <c r="D1344" t="s">
        <v>3044</v>
      </c>
      <c r="E1344" t="s">
        <v>3045</v>
      </c>
      <c r="F1344" t="e">
        <f>--ds-btn-loading-danger-outline-transition</f>
        <v>#NAME?</v>
      </c>
      <c r="G1344" t="s">
        <v>98</v>
      </c>
      <c r="H1344" t="s">
        <v>98</v>
      </c>
      <c r="I1344" t="s">
        <v>32</v>
      </c>
      <c r="J1344" t="s">
        <v>69</v>
      </c>
      <c r="K1344" t="s">
        <v>1837</v>
      </c>
      <c r="L1344" t="s">
        <v>3012</v>
      </c>
      <c r="M1344" t="s">
        <v>99</v>
      </c>
      <c r="N1344" t="s">
        <v>3013</v>
      </c>
      <c r="O1344">
        <v>1</v>
      </c>
      <c r="P1344">
        <v>0</v>
      </c>
      <c r="Q1344">
        <v>0</v>
      </c>
      <c r="R1344" s="1">
        <v>46195.684895833336</v>
      </c>
      <c r="S1344" s="1">
        <v>46205.860671296294</v>
      </c>
    </row>
    <row r="1345" spans="1:19" x14ac:dyDescent="0.25">
      <c r="A1345">
        <v>3010110117</v>
      </c>
      <c r="B1345" t="s">
        <v>28</v>
      </c>
      <c r="C1345" t="s">
        <v>29</v>
      </c>
      <c r="D1345" t="s">
        <v>3046</v>
      </c>
      <c r="E1345" t="s">
        <v>3047</v>
      </c>
      <c r="F1345" t="e">
        <f>--ds-btn-loading-danger-outline-icon-color</f>
        <v>#NAME?</v>
      </c>
      <c r="G1345" t="s">
        <v>160</v>
      </c>
      <c r="H1345" t="s">
        <v>160</v>
      </c>
      <c r="I1345" t="s">
        <v>32</v>
      </c>
      <c r="J1345" t="s">
        <v>24</v>
      </c>
      <c r="K1345" t="s">
        <v>1837</v>
      </c>
      <c r="L1345" t="s">
        <v>3012</v>
      </c>
      <c r="M1345" t="s">
        <v>102</v>
      </c>
      <c r="N1345" t="s">
        <v>3013</v>
      </c>
      <c r="O1345">
        <v>1</v>
      </c>
      <c r="P1345">
        <v>0</v>
      </c>
      <c r="Q1345">
        <v>0</v>
      </c>
      <c r="R1345" s="1">
        <v>46195.684895833336</v>
      </c>
      <c r="S1345" s="1">
        <v>46205.860671296294</v>
      </c>
    </row>
    <row r="1346" spans="1:19" x14ac:dyDescent="0.25">
      <c r="A1346">
        <v>3010110118</v>
      </c>
      <c r="B1346" t="s">
        <v>28</v>
      </c>
      <c r="C1346" t="s">
        <v>29</v>
      </c>
      <c r="D1346" t="s">
        <v>3048</v>
      </c>
      <c r="E1346" t="s">
        <v>3049</v>
      </c>
      <c r="F1346" t="e">
        <f>--ds-btn-loading-danger-outline-icon-size</f>
        <v>#NAME?</v>
      </c>
      <c r="G1346" t="s">
        <v>105</v>
      </c>
      <c r="H1346" t="s">
        <v>105</v>
      </c>
      <c r="I1346" t="s">
        <v>32</v>
      </c>
      <c r="J1346" t="s">
        <v>78</v>
      </c>
      <c r="K1346" t="s">
        <v>1837</v>
      </c>
      <c r="L1346" t="s">
        <v>3012</v>
      </c>
      <c r="M1346" t="s">
        <v>106</v>
      </c>
      <c r="N1346" t="s">
        <v>3013</v>
      </c>
      <c r="O1346">
        <v>1</v>
      </c>
      <c r="P1346">
        <v>0</v>
      </c>
      <c r="Q1346">
        <v>0</v>
      </c>
      <c r="R1346" s="1">
        <v>46195.684895833336</v>
      </c>
      <c r="S1346" s="1">
        <v>46205.860671296294</v>
      </c>
    </row>
    <row r="1347" spans="1:19" x14ac:dyDescent="0.25">
      <c r="A1347">
        <v>3010110119</v>
      </c>
      <c r="B1347" t="s">
        <v>28</v>
      </c>
      <c r="C1347" t="s">
        <v>29</v>
      </c>
      <c r="D1347" t="s">
        <v>3050</v>
      </c>
      <c r="E1347" t="s">
        <v>3051</v>
      </c>
      <c r="F1347" t="e">
        <f>--ds-btn-loading-danger-outline-line-height</f>
        <v>#NAME?</v>
      </c>
      <c r="G1347">
        <v>1.2</v>
      </c>
      <c r="H1347">
        <v>1.2</v>
      </c>
      <c r="I1347" t="s">
        <v>32</v>
      </c>
      <c r="J1347" t="s">
        <v>78</v>
      </c>
      <c r="K1347" t="s">
        <v>1837</v>
      </c>
      <c r="L1347" t="s">
        <v>3012</v>
      </c>
      <c r="M1347" t="s">
        <v>109</v>
      </c>
      <c r="N1347" t="s">
        <v>3013</v>
      </c>
      <c r="O1347">
        <v>1</v>
      </c>
      <c r="P1347">
        <v>0</v>
      </c>
      <c r="Q1347">
        <v>0</v>
      </c>
      <c r="R1347" s="1">
        <v>46195.684895833336</v>
      </c>
      <c r="S1347" s="1">
        <v>46205.860671296294</v>
      </c>
    </row>
    <row r="1348" spans="1:19" x14ac:dyDescent="0.25">
      <c r="A1348">
        <v>3010110200</v>
      </c>
      <c r="B1348" t="s">
        <v>28</v>
      </c>
      <c r="C1348" t="s">
        <v>29</v>
      </c>
      <c r="D1348" t="s">
        <v>3052</v>
      </c>
      <c r="E1348" t="s">
        <v>3053</v>
      </c>
      <c r="F1348" t="e">
        <f>--ds-btn-loading-warning-outline-bg</f>
        <v>#NAME?</v>
      </c>
      <c r="G1348" t="s">
        <v>112</v>
      </c>
      <c r="H1348" t="s">
        <v>112</v>
      </c>
      <c r="I1348" t="s">
        <v>32</v>
      </c>
      <c r="J1348" t="s">
        <v>24</v>
      </c>
      <c r="K1348" t="s">
        <v>1837</v>
      </c>
      <c r="L1348" t="s">
        <v>3054</v>
      </c>
      <c r="M1348" t="s">
        <v>26</v>
      </c>
      <c r="N1348" t="s">
        <v>3055</v>
      </c>
      <c r="O1348">
        <v>1</v>
      </c>
      <c r="P1348">
        <v>1</v>
      </c>
      <c r="Q1348">
        <v>0</v>
      </c>
      <c r="R1348" s="1">
        <v>46195.685416666667</v>
      </c>
      <c r="S1348" s="1">
        <v>46205.860671296294</v>
      </c>
    </row>
    <row r="1349" spans="1:19" x14ac:dyDescent="0.25">
      <c r="A1349">
        <v>3010110201</v>
      </c>
      <c r="B1349" t="s">
        <v>28</v>
      </c>
      <c r="C1349" t="s">
        <v>29</v>
      </c>
      <c r="D1349" t="s">
        <v>3056</v>
      </c>
      <c r="E1349" t="s">
        <v>3057</v>
      </c>
      <c r="F1349" t="e">
        <f>--ds-btn-loading-warning-outline-text</f>
        <v>#NAME?</v>
      </c>
      <c r="G1349" t="s">
        <v>182</v>
      </c>
      <c r="H1349" t="s">
        <v>182</v>
      </c>
      <c r="I1349" t="s">
        <v>32</v>
      </c>
      <c r="J1349" t="s">
        <v>24</v>
      </c>
      <c r="K1349" t="s">
        <v>1837</v>
      </c>
      <c r="L1349" t="s">
        <v>3054</v>
      </c>
      <c r="M1349" t="s">
        <v>38</v>
      </c>
      <c r="N1349" t="s">
        <v>3055</v>
      </c>
      <c r="O1349">
        <v>1</v>
      </c>
      <c r="P1349">
        <v>1</v>
      </c>
      <c r="Q1349">
        <v>0</v>
      </c>
      <c r="R1349" s="1">
        <v>46195.685416666667</v>
      </c>
      <c r="S1349" s="1">
        <v>46205.860671296294</v>
      </c>
    </row>
    <row r="1350" spans="1:19" x14ac:dyDescent="0.25">
      <c r="A1350">
        <v>3010110202</v>
      </c>
      <c r="B1350" t="s">
        <v>28</v>
      </c>
      <c r="C1350" t="s">
        <v>29</v>
      </c>
      <c r="D1350" t="s">
        <v>3058</v>
      </c>
      <c r="E1350" t="s">
        <v>3059</v>
      </c>
      <c r="F1350" t="e">
        <f>--ds-btn-loading-warning-outline-border</f>
        <v>#NAME?</v>
      </c>
      <c r="G1350" t="s">
        <v>182</v>
      </c>
      <c r="H1350" t="s">
        <v>182</v>
      </c>
      <c r="I1350" t="s">
        <v>32</v>
      </c>
      <c r="J1350" t="s">
        <v>24</v>
      </c>
      <c r="K1350" t="s">
        <v>1837</v>
      </c>
      <c r="L1350" t="s">
        <v>3054</v>
      </c>
      <c r="M1350" t="s">
        <v>42</v>
      </c>
      <c r="N1350" t="s">
        <v>3055</v>
      </c>
      <c r="O1350">
        <v>1</v>
      </c>
      <c r="P1350">
        <v>1</v>
      </c>
      <c r="Q1350">
        <v>0</v>
      </c>
      <c r="R1350" s="1">
        <v>46195.685416666667</v>
      </c>
      <c r="S1350" s="1">
        <v>46205.860671296294</v>
      </c>
    </row>
    <row r="1351" spans="1:19" x14ac:dyDescent="0.25">
      <c r="A1351">
        <v>3010110203</v>
      </c>
      <c r="B1351" t="s">
        <v>28</v>
      </c>
      <c r="C1351" t="s">
        <v>29</v>
      </c>
      <c r="D1351" t="s">
        <v>3060</v>
      </c>
      <c r="E1351" t="s">
        <v>3061</v>
      </c>
      <c r="F1351" t="e">
        <f>--ds-btn-loading-warning-outline-hover-bg</f>
        <v>#NAME?</v>
      </c>
      <c r="G1351" t="s">
        <v>182</v>
      </c>
      <c r="H1351" t="s">
        <v>182</v>
      </c>
      <c r="I1351" t="s">
        <v>32</v>
      </c>
      <c r="J1351" t="s">
        <v>24</v>
      </c>
      <c r="K1351" t="s">
        <v>1837</v>
      </c>
      <c r="L1351" t="s">
        <v>3054</v>
      </c>
      <c r="M1351" t="s">
        <v>46</v>
      </c>
      <c r="N1351" t="s">
        <v>3055</v>
      </c>
      <c r="O1351">
        <v>1</v>
      </c>
      <c r="P1351">
        <v>1</v>
      </c>
      <c r="Q1351">
        <v>0</v>
      </c>
      <c r="R1351" s="1">
        <v>46195.685416666667</v>
      </c>
      <c r="S1351" s="1">
        <v>46205.860671296294</v>
      </c>
    </row>
    <row r="1352" spans="1:19" x14ac:dyDescent="0.25">
      <c r="A1352">
        <v>3010110204</v>
      </c>
      <c r="B1352" t="s">
        <v>28</v>
      </c>
      <c r="C1352" t="s">
        <v>29</v>
      </c>
      <c r="D1352" t="s">
        <v>3062</v>
      </c>
      <c r="E1352" t="s">
        <v>3063</v>
      </c>
      <c r="F1352" t="e">
        <f>--ds-btn-loading-warning-outline-hover-text</f>
        <v>#NAME?</v>
      </c>
      <c r="G1352" t="s">
        <v>117</v>
      </c>
      <c r="H1352" t="s">
        <v>117</v>
      </c>
      <c r="I1352" t="s">
        <v>32</v>
      </c>
      <c r="J1352" t="s">
        <v>24</v>
      </c>
      <c r="K1352" t="s">
        <v>1837</v>
      </c>
      <c r="L1352" t="s">
        <v>3054</v>
      </c>
      <c r="M1352" t="s">
        <v>49</v>
      </c>
      <c r="N1352" t="s">
        <v>3055</v>
      </c>
      <c r="O1352">
        <v>1</v>
      </c>
      <c r="P1352">
        <v>1</v>
      </c>
      <c r="Q1352">
        <v>0</v>
      </c>
      <c r="R1352" s="1">
        <v>46195.685416666667</v>
      </c>
      <c r="S1352" s="1">
        <v>46205.860671296294</v>
      </c>
    </row>
    <row r="1353" spans="1:19" x14ac:dyDescent="0.25">
      <c r="A1353">
        <v>3010110205</v>
      </c>
      <c r="B1353" t="s">
        <v>28</v>
      </c>
      <c r="C1353" t="s">
        <v>29</v>
      </c>
      <c r="D1353" t="s">
        <v>3064</v>
      </c>
      <c r="E1353" t="s">
        <v>3065</v>
      </c>
      <c r="F1353" t="e">
        <f>--ds-btn-loading-warning-outline-hover-border</f>
        <v>#NAME?</v>
      </c>
      <c r="G1353" t="s">
        <v>999</v>
      </c>
      <c r="H1353" t="s">
        <v>999</v>
      </c>
      <c r="I1353" t="s">
        <v>32</v>
      </c>
      <c r="J1353" t="s">
        <v>24</v>
      </c>
      <c r="K1353" t="s">
        <v>1837</v>
      </c>
      <c r="L1353" t="s">
        <v>3054</v>
      </c>
      <c r="M1353" t="s">
        <v>53</v>
      </c>
      <c r="N1353" t="s">
        <v>3055</v>
      </c>
      <c r="O1353">
        <v>1</v>
      </c>
      <c r="P1353">
        <v>1</v>
      </c>
      <c r="Q1353">
        <v>0</v>
      </c>
      <c r="R1353" s="1">
        <v>46195.685416666667</v>
      </c>
      <c r="S1353" s="1">
        <v>46205.860671296294</v>
      </c>
    </row>
    <row r="1354" spans="1:19" x14ac:dyDescent="0.25">
      <c r="A1354">
        <v>3010110206</v>
      </c>
      <c r="B1354" t="s">
        <v>28</v>
      </c>
      <c r="C1354" t="s">
        <v>29</v>
      </c>
      <c r="D1354" t="s">
        <v>3066</v>
      </c>
      <c r="E1354" t="s">
        <v>3067</v>
      </c>
      <c r="F1354" t="e">
        <f>--ds-btn-loading-warning-outline-disabled-bg</f>
        <v>#NAME?</v>
      </c>
      <c r="G1354" t="s">
        <v>112</v>
      </c>
      <c r="H1354" t="s">
        <v>112</v>
      </c>
      <c r="I1354" t="s">
        <v>32</v>
      </c>
      <c r="J1354" t="s">
        <v>24</v>
      </c>
      <c r="K1354" t="s">
        <v>1837</v>
      </c>
      <c r="L1354" t="s">
        <v>3054</v>
      </c>
      <c r="M1354" t="s">
        <v>57</v>
      </c>
      <c r="N1354" t="s">
        <v>3055</v>
      </c>
      <c r="O1354">
        <v>1</v>
      </c>
      <c r="P1354">
        <v>1</v>
      </c>
      <c r="Q1354">
        <v>0</v>
      </c>
      <c r="R1354" s="1">
        <v>46195.685416666667</v>
      </c>
      <c r="S1354" s="1">
        <v>46205.860671296294</v>
      </c>
    </row>
    <row r="1355" spans="1:19" x14ac:dyDescent="0.25">
      <c r="A1355">
        <v>3010110207</v>
      </c>
      <c r="B1355" t="s">
        <v>28</v>
      </c>
      <c r="C1355" t="s">
        <v>29</v>
      </c>
      <c r="D1355" t="s">
        <v>3068</v>
      </c>
      <c r="E1355" t="s">
        <v>3069</v>
      </c>
      <c r="F1355" t="e">
        <f>--ds-btn-loading-warning-outline-disabled-text</f>
        <v>#NAME?</v>
      </c>
      <c r="G1355" t="s">
        <v>60</v>
      </c>
      <c r="H1355" t="s">
        <v>60</v>
      </c>
      <c r="I1355" t="s">
        <v>32</v>
      </c>
      <c r="J1355" t="s">
        <v>24</v>
      </c>
      <c r="K1355" t="s">
        <v>1837</v>
      </c>
      <c r="L1355" t="s">
        <v>3054</v>
      </c>
      <c r="M1355" t="s">
        <v>61</v>
      </c>
      <c r="N1355" t="s">
        <v>3055</v>
      </c>
      <c r="O1355">
        <v>1</v>
      </c>
      <c r="P1355">
        <v>1</v>
      </c>
      <c r="Q1355">
        <v>0</v>
      </c>
      <c r="R1355" s="1">
        <v>46195.685416666667</v>
      </c>
      <c r="S1355" s="1">
        <v>46205.860671296294</v>
      </c>
    </row>
    <row r="1356" spans="1:19" x14ac:dyDescent="0.25">
      <c r="A1356">
        <v>3010110208</v>
      </c>
      <c r="B1356" t="s">
        <v>28</v>
      </c>
      <c r="C1356" t="s">
        <v>29</v>
      </c>
      <c r="D1356" t="s">
        <v>3070</v>
      </c>
      <c r="E1356" t="s">
        <v>3071</v>
      </c>
      <c r="F1356" t="e">
        <f>--ds-btn-loading-warning-outline-disabled-border</f>
        <v>#NAME?</v>
      </c>
      <c r="G1356" t="s">
        <v>1346</v>
      </c>
      <c r="H1356" t="s">
        <v>1346</v>
      </c>
      <c r="I1356" t="s">
        <v>32</v>
      </c>
      <c r="J1356" t="s">
        <v>24</v>
      </c>
      <c r="K1356" t="s">
        <v>1837</v>
      </c>
      <c r="L1356" t="s">
        <v>3054</v>
      </c>
      <c r="M1356" t="s">
        <v>65</v>
      </c>
      <c r="N1356" t="s">
        <v>3055</v>
      </c>
      <c r="O1356">
        <v>1</v>
      </c>
      <c r="P1356">
        <v>1</v>
      </c>
      <c r="Q1356">
        <v>0</v>
      </c>
      <c r="R1356" s="1">
        <v>46195.685416666667</v>
      </c>
      <c r="S1356" s="1">
        <v>46205.860671296294</v>
      </c>
    </row>
    <row r="1357" spans="1:19" x14ac:dyDescent="0.25">
      <c r="A1357">
        <v>3010110209</v>
      </c>
      <c r="B1357" t="s">
        <v>28</v>
      </c>
      <c r="C1357" t="s">
        <v>29</v>
      </c>
      <c r="D1357" t="s">
        <v>3072</v>
      </c>
      <c r="E1357" t="s">
        <v>3073</v>
      </c>
      <c r="F1357" t="e">
        <f>--ds-btn-loading-warning-outline-spinner-color</f>
        <v>#NAME?</v>
      </c>
      <c r="G1357" t="s">
        <v>182</v>
      </c>
      <c r="H1357" t="s">
        <v>182</v>
      </c>
      <c r="I1357" t="s">
        <v>32</v>
      </c>
      <c r="J1357" t="s">
        <v>24</v>
      </c>
      <c r="K1357" t="s">
        <v>1837</v>
      </c>
      <c r="L1357" t="s">
        <v>3054</v>
      </c>
      <c r="M1357" t="s">
        <v>1857</v>
      </c>
      <c r="N1357" t="s">
        <v>3055</v>
      </c>
      <c r="O1357">
        <v>1</v>
      </c>
      <c r="P1357">
        <v>1</v>
      </c>
      <c r="Q1357">
        <v>0</v>
      </c>
      <c r="R1357" s="1">
        <v>46195.685416666667</v>
      </c>
      <c r="S1357" s="1">
        <v>46205.860671296294</v>
      </c>
    </row>
    <row r="1358" spans="1:19" x14ac:dyDescent="0.25">
      <c r="A1358">
        <v>3010110210</v>
      </c>
      <c r="B1358" t="s">
        <v>28</v>
      </c>
      <c r="C1358" t="s">
        <v>29</v>
      </c>
      <c r="D1358" t="s">
        <v>3074</v>
      </c>
      <c r="E1358" t="s">
        <v>3075</v>
      </c>
      <c r="F1358" t="e">
        <f>--ds-btn-loading-warning-outline-spinner-size</f>
        <v>#NAME?</v>
      </c>
      <c r="G1358" t="s">
        <v>105</v>
      </c>
      <c r="H1358" t="s">
        <v>105</v>
      </c>
      <c r="I1358" t="s">
        <v>32</v>
      </c>
      <c r="J1358" t="s">
        <v>78</v>
      </c>
      <c r="K1358" t="s">
        <v>1837</v>
      </c>
      <c r="L1358" t="s">
        <v>3054</v>
      </c>
      <c r="M1358" t="s">
        <v>1860</v>
      </c>
      <c r="N1358" t="s">
        <v>3055</v>
      </c>
      <c r="O1358">
        <v>1</v>
      </c>
      <c r="P1358">
        <v>0</v>
      </c>
      <c r="Q1358">
        <v>0</v>
      </c>
      <c r="R1358" s="1">
        <v>46195.685416666667</v>
      </c>
      <c r="S1358" s="1">
        <v>46205.860671296294</v>
      </c>
    </row>
    <row r="1359" spans="1:19" x14ac:dyDescent="0.25">
      <c r="A1359">
        <v>3010110211</v>
      </c>
      <c r="B1359" t="s">
        <v>28</v>
      </c>
      <c r="C1359" t="s">
        <v>29</v>
      </c>
      <c r="D1359" t="s">
        <v>3076</v>
      </c>
      <c r="E1359" t="s">
        <v>3077</v>
      </c>
      <c r="F1359" t="e">
        <f>--ds-btn-loading-warning-outline-padding-x</f>
        <v>#NAME?</v>
      </c>
      <c r="G1359" t="s">
        <v>77</v>
      </c>
      <c r="H1359" t="s">
        <v>77</v>
      </c>
      <c r="I1359" t="s">
        <v>32</v>
      </c>
      <c r="J1359" t="s">
        <v>78</v>
      </c>
      <c r="K1359" t="s">
        <v>1837</v>
      </c>
      <c r="L1359" t="s">
        <v>3054</v>
      </c>
      <c r="M1359" t="s">
        <v>79</v>
      </c>
      <c r="N1359" t="s">
        <v>3055</v>
      </c>
      <c r="O1359">
        <v>1</v>
      </c>
      <c r="P1359">
        <v>0</v>
      </c>
      <c r="Q1359">
        <v>0</v>
      </c>
      <c r="R1359" s="1">
        <v>46195.685416666667</v>
      </c>
      <c r="S1359" s="1">
        <v>46205.860671296294</v>
      </c>
    </row>
    <row r="1360" spans="1:19" x14ac:dyDescent="0.25">
      <c r="A1360">
        <v>3010110212</v>
      </c>
      <c r="B1360" t="s">
        <v>28</v>
      </c>
      <c r="C1360" t="s">
        <v>29</v>
      </c>
      <c r="D1360" t="s">
        <v>3078</v>
      </c>
      <c r="E1360" t="s">
        <v>3079</v>
      </c>
      <c r="F1360" t="e">
        <f>--ds-btn-loading-warning-outline-padding-y</f>
        <v>#NAME?</v>
      </c>
      <c r="G1360" t="s">
        <v>82</v>
      </c>
      <c r="H1360" t="s">
        <v>82</v>
      </c>
      <c r="I1360" t="s">
        <v>32</v>
      </c>
      <c r="J1360" t="s">
        <v>78</v>
      </c>
      <c r="K1360" t="s">
        <v>1837</v>
      </c>
      <c r="L1360" t="s">
        <v>3054</v>
      </c>
      <c r="M1360" t="s">
        <v>83</v>
      </c>
      <c r="N1360" t="s">
        <v>3055</v>
      </c>
      <c r="O1360">
        <v>1</v>
      </c>
      <c r="P1360">
        <v>0</v>
      </c>
      <c r="Q1360">
        <v>0</v>
      </c>
      <c r="R1360" s="1">
        <v>46195.685416666667</v>
      </c>
      <c r="S1360" s="1">
        <v>46205.860671296294</v>
      </c>
    </row>
    <row r="1361" spans="1:19" x14ac:dyDescent="0.25">
      <c r="A1361">
        <v>3010110213</v>
      </c>
      <c r="B1361" t="s">
        <v>28</v>
      </c>
      <c r="C1361" t="s">
        <v>29</v>
      </c>
      <c r="D1361" t="s">
        <v>3080</v>
      </c>
      <c r="E1361" t="s">
        <v>3081</v>
      </c>
      <c r="F1361" t="e">
        <f>--ds-btn-loading-warning-outline-gap</f>
        <v>#NAME?</v>
      </c>
      <c r="G1361" t="s">
        <v>86</v>
      </c>
      <c r="H1361" t="s">
        <v>86</v>
      </c>
      <c r="I1361" t="s">
        <v>32</v>
      </c>
      <c r="J1361" t="s">
        <v>78</v>
      </c>
      <c r="K1361" t="s">
        <v>1837</v>
      </c>
      <c r="L1361" t="s">
        <v>3054</v>
      </c>
      <c r="M1361" t="s">
        <v>87</v>
      </c>
      <c r="N1361" t="s">
        <v>3055</v>
      </c>
      <c r="O1361">
        <v>1</v>
      </c>
      <c r="P1361">
        <v>0</v>
      </c>
      <c r="Q1361">
        <v>0</v>
      </c>
      <c r="R1361" s="1">
        <v>46195.685416666667</v>
      </c>
      <c r="S1361" s="1">
        <v>46205.860671296294</v>
      </c>
    </row>
    <row r="1362" spans="1:19" x14ac:dyDescent="0.25">
      <c r="A1362">
        <v>3010110214</v>
      </c>
      <c r="B1362" t="s">
        <v>28</v>
      </c>
      <c r="C1362" t="s">
        <v>29</v>
      </c>
      <c r="D1362" t="s">
        <v>3082</v>
      </c>
      <c r="E1362" t="s">
        <v>3083</v>
      </c>
      <c r="F1362" t="e">
        <f>--ds-btn-loading-warning-outline-focus-ring</f>
        <v>#NAME?</v>
      </c>
      <c r="G1362" t="s">
        <v>1359</v>
      </c>
      <c r="H1362" t="s">
        <v>1359</v>
      </c>
      <c r="I1362" t="s">
        <v>32</v>
      </c>
      <c r="J1362" t="s">
        <v>69</v>
      </c>
      <c r="K1362" t="s">
        <v>1837</v>
      </c>
      <c r="L1362" t="s">
        <v>3054</v>
      </c>
      <c r="M1362" t="s">
        <v>91</v>
      </c>
      <c r="N1362" t="s">
        <v>3055</v>
      </c>
      <c r="O1362">
        <v>1</v>
      </c>
      <c r="P1362">
        <v>0</v>
      </c>
      <c r="Q1362">
        <v>0</v>
      </c>
      <c r="R1362" s="1">
        <v>46195.685416666667</v>
      </c>
      <c r="S1362" s="1">
        <v>46205.860671296294</v>
      </c>
    </row>
    <row r="1363" spans="1:19" x14ac:dyDescent="0.25">
      <c r="A1363">
        <v>3010110215</v>
      </c>
      <c r="B1363" t="s">
        <v>28</v>
      </c>
      <c r="C1363" t="s">
        <v>29</v>
      </c>
      <c r="D1363" t="s">
        <v>3084</v>
      </c>
      <c r="E1363" t="s">
        <v>3085</v>
      </c>
      <c r="F1363" t="e">
        <f>--ds-btn-loading-warning-outline-outline</f>
        <v>#NAME?</v>
      </c>
      <c r="G1363" t="s">
        <v>94</v>
      </c>
      <c r="H1363" t="s">
        <v>94</v>
      </c>
      <c r="I1363" t="s">
        <v>32</v>
      </c>
      <c r="J1363" t="s">
        <v>69</v>
      </c>
      <c r="K1363" t="s">
        <v>1837</v>
      </c>
      <c r="L1363" t="s">
        <v>3054</v>
      </c>
      <c r="M1363" t="s">
        <v>95</v>
      </c>
      <c r="N1363" t="s">
        <v>3055</v>
      </c>
      <c r="O1363">
        <v>1</v>
      </c>
      <c r="P1363">
        <v>0</v>
      </c>
      <c r="Q1363">
        <v>0</v>
      </c>
      <c r="R1363" s="1">
        <v>46195.685416666667</v>
      </c>
      <c r="S1363" s="1">
        <v>46205.860671296294</v>
      </c>
    </row>
    <row r="1364" spans="1:19" x14ac:dyDescent="0.25">
      <c r="A1364">
        <v>3010110216</v>
      </c>
      <c r="B1364" t="s">
        <v>28</v>
      </c>
      <c r="C1364" t="s">
        <v>29</v>
      </c>
      <c r="D1364" t="s">
        <v>3086</v>
      </c>
      <c r="E1364" t="s">
        <v>3087</v>
      </c>
      <c r="F1364" t="e">
        <f>--ds-btn-loading-warning-outline-transition</f>
        <v>#NAME?</v>
      </c>
      <c r="G1364" t="s">
        <v>98</v>
      </c>
      <c r="H1364" t="s">
        <v>98</v>
      </c>
      <c r="I1364" t="s">
        <v>32</v>
      </c>
      <c r="J1364" t="s">
        <v>69</v>
      </c>
      <c r="K1364" t="s">
        <v>1837</v>
      </c>
      <c r="L1364" t="s">
        <v>3054</v>
      </c>
      <c r="M1364" t="s">
        <v>99</v>
      </c>
      <c r="N1364" t="s">
        <v>3055</v>
      </c>
      <c r="O1364">
        <v>1</v>
      </c>
      <c r="P1364">
        <v>0</v>
      </c>
      <c r="Q1364">
        <v>0</v>
      </c>
      <c r="R1364" s="1">
        <v>46195.685416666667</v>
      </c>
      <c r="S1364" s="1">
        <v>46205.860671296294</v>
      </c>
    </row>
    <row r="1365" spans="1:19" x14ac:dyDescent="0.25">
      <c r="A1365">
        <v>3010110217</v>
      </c>
      <c r="B1365" t="s">
        <v>28</v>
      </c>
      <c r="C1365" t="s">
        <v>29</v>
      </c>
      <c r="D1365" t="s">
        <v>3088</v>
      </c>
      <c r="E1365" t="s">
        <v>3089</v>
      </c>
      <c r="F1365" t="e">
        <f>--ds-btn-loading-warning-outline-icon-color</f>
        <v>#NAME?</v>
      </c>
      <c r="G1365" t="s">
        <v>182</v>
      </c>
      <c r="H1365" t="s">
        <v>182</v>
      </c>
      <c r="I1365" t="s">
        <v>32</v>
      </c>
      <c r="J1365" t="s">
        <v>24</v>
      </c>
      <c r="K1365" t="s">
        <v>1837</v>
      </c>
      <c r="L1365" t="s">
        <v>3054</v>
      </c>
      <c r="M1365" t="s">
        <v>102</v>
      </c>
      <c r="N1365" t="s">
        <v>3055</v>
      </c>
      <c r="O1365">
        <v>1</v>
      </c>
      <c r="P1365">
        <v>0</v>
      </c>
      <c r="Q1365">
        <v>0</v>
      </c>
      <c r="R1365" s="1">
        <v>46195.685416666667</v>
      </c>
      <c r="S1365" s="1">
        <v>46205.860671296294</v>
      </c>
    </row>
    <row r="1366" spans="1:19" x14ac:dyDescent="0.25">
      <c r="A1366">
        <v>3010110218</v>
      </c>
      <c r="B1366" t="s">
        <v>28</v>
      </c>
      <c r="C1366" t="s">
        <v>29</v>
      </c>
      <c r="D1366" t="s">
        <v>3090</v>
      </c>
      <c r="E1366" t="s">
        <v>3091</v>
      </c>
      <c r="F1366" t="e">
        <f>--ds-btn-loading-warning-outline-icon-size</f>
        <v>#NAME?</v>
      </c>
      <c r="G1366" t="s">
        <v>105</v>
      </c>
      <c r="H1366" t="s">
        <v>105</v>
      </c>
      <c r="I1366" t="s">
        <v>32</v>
      </c>
      <c r="J1366" t="s">
        <v>78</v>
      </c>
      <c r="K1366" t="s">
        <v>1837</v>
      </c>
      <c r="L1366" t="s">
        <v>3054</v>
      </c>
      <c r="M1366" t="s">
        <v>106</v>
      </c>
      <c r="N1366" t="s">
        <v>3055</v>
      </c>
      <c r="O1366">
        <v>1</v>
      </c>
      <c r="P1366">
        <v>0</v>
      </c>
      <c r="Q1366">
        <v>0</v>
      </c>
      <c r="R1366" s="1">
        <v>46195.685416666667</v>
      </c>
      <c r="S1366" s="1">
        <v>46205.860671296294</v>
      </c>
    </row>
    <row r="1367" spans="1:19" x14ac:dyDescent="0.25">
      <c r="A1367">
        <v>3010110219</v>
      </c>
      <c r="B1367" t="s">
        <v>28</v>
      </c>
      <c r="C1367" t="s">
        <v>29</v>
      </c>
      <c r="D1367" t="s">
        <v>3092</v>
      </c>
      <c r="E1367" t="s">
        <v>3093</v>
      </c>
      <c r="F1367" t="e">
        <f>--ds-btn-loading-warning-outline-line-height</f>
        <v>#NAME?</v>
      </c>
      <c r="G1367">
        <v>1.2</v>
      </c>
      <c r="H1367">
        <v>1.2</v>
      </c>
      <c r="I1367" t="s">
        <v>32</v>
      </c>
      <c r="J1367" t="s">
        <v>78</v>
      </c>
      <c r="K1367" t="s">
        <v>1837</v>
      </c>
      <c r="L1367" t="s">
        <v>3054</v>
      </c>
      <c r="M1367" t="s">
        <v>109</v>
      </c>
      <c r="N1367" t="s">
        <v>3055</v>
      </c>
      <c r="O1367">
        <v>1</v>
      </c>
      <c r="P1367">
        <v>0</v>
      </c>
      <c r="Q1367">
        <v>0</v>
      </c>
      <c r="R1367" s="1">
        <v>46195.685416666667</v>
      </c>
      <c r="S1367" s="1">
        <v>46205.860671296294</v>
      </c>
    </row>
    <row r="1368" spans="1:19" x14ac:dyDescent="0.25">
      <c r="A1368">
        <v>3010110300</v>
      </c>
      <c r="B1368" t="s">
        <v>28</v>
      </c>
      <c r="C1368" t="s">
        <v>29</v>
      </c>
      <c r="D1368" t="s">
        <v>3094</v>
      </c>
      <c r="E1368" t="s">
        <v>3095</v>
      </c>
      <c r="F1368" t="e">
        <f>--ds-btn-loading-info-outline-bg</f>
        <v>#NAME?</v>
      </c>
      <c r="G1368" t="s">
        <v>112</v>
      </c>
      <c r="H1368" t="s">
        <v>112</v>
      </c>
      <c r="I1368" t="s">
        <v>32</v>
      </c>
      <c r="J1368" t="s">
        <v>24</v>
      </c>
      <c r="K1368" t="s">
        <v>1837</v>
      </c>
      <c r="L1368" t="s">
        <v>3096</v>
      </c>
      <c r="M1368" t="s">
        <v>26</v>
      </c>
      <c r="N1368" t="s">
        <v>3097</v>
      </c>
      <c r="O1368">
        <v>1</v>
      </c>
      <c r="P1368">
        <v>1</v>
      </c>
      <c r="Q1368">
        <v>0</v>
      </c>
      <c r="R1368" s="1">
        <v>46195.686041666668</v>
      </c>
      <c r="S1368" s="1">
        <v>46205.860671296294</v>
      </c>
    </row>
    <row r="1369" spans="1:19" x14ac:dyDescent="0.25">
      <c r="A1369">
        <v>3010110301</v>
      </c>
      <c r="B1369" t="s">
        <v>28</v>
      </c>
      <c r="C1369" t="s">
        <v>29</v>
      </c>
      <c r="D1369" t="s">
        <v>3098</v>
      </c>
      <c r="E1369" t="s">
        <v>3099</v>
      </c>
      <c r="F1369" t="e">
        <f>--ds-btn-loading-info-outline-text</f>
        <v>#NAME?</v>
      </c>
      <c r="G1369" t="s">
        <v>204</v>
      </c>
      <c r="H1369" t="s">
        <v>204</v>
      </c>
      <c r="I1369" t="s">
        <v>32</v>
      </c>
      <c r="J1369" t="s">
        <v>24</v>
      </c>
      <c r="K1369" t="s">
        <v>1837</v>
      </c>
      <c r="L1369" t="s">
        <v>3096</v>
      </c>
      <c r="M1369" t="s">
        <v>38</v>
      </c>
      <c r="N1369" t="s">
        <v>3097</v>
      </c>
      <c r="O1369">
        <v>1</v>
      </c>
      <c r="P1369">
        <v>1</v>
      </c>
      <c r="Q1369">
        <v>0</v>
      </c>
      <c r="R1369" s="1">
        <v>46195.686041666668</v>
      </c>
      <c r="S1369" s="1">
        <v>46205.860671296294</v>
      </c>
    </row>
    <row r="1370" spans="1:19" x14ac:dyDescent="0.25">
      <c r="A1370">
        <v>3010110302</v>
      </c>
      <c r="B1370" t="s">
        <v>28</v>
      </c>
      <c r="C1370" t="s">
        <v>29</v>
      </c>
      <c r="D1370" t="s">
        <v>3100</v>
      </c>
      <c r="E1370" t="s">
        <v>3101</v>
      </c>
      <c r="F1370" t="e">
        <f>--ds-btn-loading-info-outline-border</f>
        <v>#NAME?</v>
      </c>
      <c r="G1370" t="s">
        <v>204</v>
      </c>
      <c r="H1370" t="s">
        <v>204</v>
      </c>
      <c r="I1370" t="s">
        <v>32</v>
      </c>
      <c r="J1370" t="s">
        <v>24</v>
      </c>
      <c r="K1370" t="s">
        <v>1837</v>
      </c>
      <c r="L1370" t="s">
        <v>3096</v>
      </c>
      <c r="M1370" t="s">
        <v>42</v>
      </c>
      <c r="N1370" t="s">
        <v>3097</v>
      </c>
      <c r="O1370">
        <v>1</v>
      </c>
      <c r="P1370">
        <v>1</v>
      </c>
      <c r="Q1370">
        <v>0</v>
      </c>
      <c r="R1370" s="1">
        <v>46195.686041666668</v>
      </c>
      <c r="S1370" s="1">
        <v>46205.860671296294</v>
      </c>
    </row>
    <row r="1371" spans="1:19" x14ac:dyDescent="0.25">
      <c r="A1371">
        <v>3010110303</v>
      </c>
      <c r="B1371" t="s">
        <v>28</v>
      </c>
      <c r="C1371" t="s">
        <v>29</v>
      </c>
      <c r="D1371" t="s">
        <v>3102</v>
      </c>
      <c r="E1371" t="s">
        <v>3103</v>
      </c>
      <c r="F1371" t="e">
        <f>--ds-btn-loading-info-outline-hover-bg</f>
        <v>#NAME?</v>
      </c>
      <c r="G1371" t="s">
        <v>204</v>
      </c>
      <c r="H1371" t="s">
        <v>204</v>
      </c>
      <c r="I1371" t="s">
        <v>32</v>
      </c>
      <c r="J1371" t="s">
        <v>24</v>
      </c>
      <c r="K1371" t="s">
        <v>1837</v>
      </c>
      <c r="L1371" t="s">
        <v>3096</v>
      </c>
      <c r="M1371" t="s">
        <v>46</v>
      </c>
      <c r="N1371" t="s">
        <v>3097</v>
      </c>
      <c r="O1371">
        <v>1</v>
      </c>
      <c r="P1371">
        <v>1</v>
      </c>
      <c r="Q1371">
        <v>0</v>
      </c>
      <c r="R1371" s="1">
        <v>46195.686041666668</v>
      </c>
      <c r="S1371" s="1">
        <v>46205.860671296294</v>
      </c>
    </row>
    <row r="1372" spans="1:19" x14ac:dyDescent="0.25">
      <c r="A1372">
        <v>3010110304</v>
      </c>
      <c r="B1372" t="s">
        <v>28</v>
      </c>
      <c r="C1372" t="s">
        <v>29</v>
      </c>
      <c r="D1372" t="s">
        <v>3104</v>
      </c>
      <c r="E1372" t="s">
        <v>3105</v>
      </c>
      <c r="F1372" t="e">
        <f>--ds-btn-loading-info-outline-hover-text</f>
        <v>#NAME?</v>
      </c>
      <c r="G1372" t="s">
        <v>117</v>
      </c>
      <c r="H1372" t="s">
        <v>117</v>
      </c>
      <c r="I1372" t="s">
        <v>32</v>
      </c>
      <c r="J1372" t="s">
        <v>24</v>
      </c>
      <c r="K1372" t="s">
        <v>1837</v>
      </c>
      <c r="L1372" t="s">
        <v>3096</v>
      </c>
      <c r="M1372" t="s">
        <v>49</v>
      </c>
      <c r="N1372" t="s">
        <v>3097</v>
      </c>
      <c r="O1372">
        <v>1</v>
      </c>
      <c r="P1372">
        <v>1</v>
      </c>
      <c r="Q1372">
        <v>0</v>
      </c>
      <c r="R1372" s="1">
        <v>46195.686041666668</v>
      </c>
      <c r="S1372" s="1">
        <v>46205.860671296294</v>
      </c>
    </row>
    <row r="1373" spans="1:19" x14ac:dyDescent="0.25">
      <c r="A1373">
        <v>3010110305</v>
      </c>
      <c r="B1373" t="s">
        <v>28</v>
      </c>
      <c r="C1373" t="s">
        <v>29</v>
      </c>
      <c r="D1373" t="s">
        <v>3106</v>
      </c>
      <c r="E1373" t="s">
        <v>3107</v>
      </c>
      <c r="F1373" t="e">
        <f>--ds-btn-loading-info-outline-hover-border</f>
        <v>#NAME?</v>
      </c>
      <c r="G1373" t="s">
        <v>2056</v>
      </c>
      <c r="H1373" t="s">
        <v>2056</v>
      </c>
      <c r="I1373" t="s">
        <v>32</v>
      </c>
      <c r="J1373" t="s">
        <v>24</v>
      </c>
      <c r="K1373" t="s">
        <v>1837</v>
      </c>
      <c r="L1373" t="s">
        <v>3096</v>
      </c>
      <c r="M1373" t="s">
        <v>53</v>
      </c>
      <c r="N1373" t="s">
        <v>3097</v>
      </c>
      <c r="O1373">
        <v>1</v>
      </c>
      <c r="P1373">
        <v>1</v>
      </c>
      <c r="Q1373">
        <v>0</v>
      </c>
      <c r="R1373" s="1">
        <v>46195.686041666668</v>
      </c>
      <c r="S1373" s="1">
        <v>46205.860671296294</v>
      </c>
    </row>
    <row r="1374" spans="1:19" x14ac:dyDescent="0.25">
      <c r="A1374">
        <v>3010110306</v>
      </c>
      <c r="B1374" t="s">
        <v>28</v>
      </c>
      <c r="C1374" t="s">
        <v>29</v>
      </c>
      <c r="D1374" t="s">
        <v>3108</v>
      </c>
      <c r="E1374" t="s">
        <v>3109</v>
      </c>
      <c r="F1374" t="e">
        <f>--ds-btn-loading-info-outline-disabled-bg</f>
        <v>#NAME?</v>
      </c>
      <c r="G1374" t="s">
        <v>112</v>
      </c>
      <c r="H1374" t="s">
        <v>112</v>
      </c>
      <c r="I1374" t="s">
        <v>32</v>
      </c>
      <c r="J1374" t="s">
        <v>24</v>
      </c>
      <c r="K1374" t="s">
        <v>1837</v>
      </c>
      <c r="L1374" t="s">
        <v>3096</v>
      </c>
      <c r="M1374" t="s">
        <v>57</v>
      </c>
      <c r="N1374" t="s">
        <v>3097</v>
      </c>
      <c r="O1374">
        <v>1</v>
      </c>
      <c r="P1374">
        <v>1</v>
      </c>
      <c r="Q1374">
        <v>0</v>
      </c>
      <c r="R1374" s="1">
        <v>46195.686041666668</v>
      </c>
      <c r="S1374" s="1">
        <v>46205.860671296294</v>
      </c>
    </row>
    <row r="1375" spans="1:19" x14ac:dyDescent="0.25">
      <c r="A1375">
        <v>3010110307</v>
      </c>
      <c r="B1375" t="s">
        <v>28</v>
      </c>
      <c r="C1375" t="s">
        <v>29</v>
      </c>
      <c r="D1375" t="s">
        <v>3110</v>
      </c>
      <c r="E1375" t="s">
        <v>3111</v>
      </c>
      <c r="F1375" t="e">
        <f>--ds-btn-loading-info-outline-disabled-text</f>
        <v>#NAME?</v>
      </c>
      <c r="G1375" t="s">
        <v>60</v>
      </c>
      <c r="H1375" t="s">
        <v>60</v>
      </c>
      <c r="I1375" t="s">
        <v>32</v>
      </c>
      <c r="J1375" t="s">
        <v>24</v>
      </c>
      <c r="K1375" t="s">
        <v>1837</v>
      </c>
      <c r="L1375" t="s">
        <v>3096</v>
      </c>
      <c r="M1375" t="s">
        <v>61</v>
      </c>
      <c r="N1375" t="s">
        <v>3097</v>
      </c>
      <c r="O1375">
        <v>1</v>
      </c>
      <c r="P1375">
        <v>1</v>
      </c>
      <c r="Q1375">
        <v>0</v>
      </c>
      <c r="R1375" s="1">
        <v>46195.686041666668</v>
      </c>
      <c r="S1375" s="1">
        <v>46205.860671296294</v>
      </c>
    </row>
    <row r="1376" spans="1:19" x14ac:dyDescent="0.25">
      <c r="A1376">
        <v>3010110308</v>
      </c>
      <c r="B1376" t="s">
        <v>28</v>
      </c>
      <c r="C1376" t="s">
        <v>29</v>
      </c>
      <c r="D1376" t="s">
        <v>3112</v>
      </c>
      <c r="E1376" t="s">
        <v>3113</v>
      </c>
      <c r="F1376" t="e">
        <f>--ds-btn-loading-info-outline-disabled-border</f>
        <v>#NAME?</v>
      </c>
      <c r="G1376" t="s">
        <v>539</v>
      </c>
      <c r="H1376" t="s">
        <v>539</v>
      </c>
      <c r="I1376" t="s">
        <v>32</v>
      </c>
      <c r="J1376" t="s">
        <v>24</v>
      </c>
      <c r="K1376" t="s">
        <v>1837</v>
      </c>
      <c r="L1376" t="s">
        <v>3096</v>
      </c>
      <c r="M1376" t="s">
        <v>65</v>
      </c>
      <c r="N1376" t="s">
        <v>3097</v>
      </c>
      <c r="O1376">
        <v>1</v>
      </c>
      <c r="P1376">
        <v>1</v>
      </c>
      <c r="Q1376">
        <v>0</v>
      </c>
      <c r="R1376" s="1">
        <v>46195.686041666668</v>
      </c>
      <c r="S1376" s="1">
        <v>46205.860671296294</v>
      </c>
    </row>
    <row r="1377" spans="1:19" x14ac:dyDescent="0.25">
      <c r="A1377">
        <v>3010110309</v>
      </c>
      <c r="B1377" t="s">
        <v>28</v>
      </c>
      <c r="C1377" t="s">
        <v>29</v>
      </c>
      <c r="D1377" t="s">
        <v>3114</v>
      </c>
      <c r="E1377" t="s">
        <v>3115</v>
      </c>
      <c r="F1377" t="e">
        <f>--ds-btn-loading-info-outline-spinner-color</f>
        <v>#NAME?</v>
      </c>
      <c r="G1377" t="s">
        <v>204</v>
      </c>
      <c r="H1377" t="s">
        <v>204</v>
      </c>
      <c r="I1377" t="s">
        <v>32</v>
      </c>
      <c r="J1377" t="s">
        <v>24</v>
      </c>
      <c r="K1377" t="s">
        <v>1837</v>
      </c>
      <c r="L1377" t="s">
        <v>3096</v>
      </c>
      <c r="M1377" t="s">
        <v>1857</v>
      </c>
      <c r="N1377" t="s">
        <v>3097</v>
      </c>
      <c r="O1377">
        <v>1</v>
      </c>
      <c r="P1377">
        <v>1</v>
      </c>
      <c r="Q1377">
        <v>0</v>
      </c>
      <c r="R1377" s="1">
        <v>46195.686041666668</v>
      </c>
      <c r="S1377" s="1">
        <v>46205.860671296294</v>
      </c>
    </row>
    <row r="1378" spans="1:19" x14ac:dyDescent="0.25">
      <c r="A1378">
        <v>3010110310</v>
      </c>
      <c r="B1378" t="s">
        <v>28</v>
      </c>
      <c r="C1378" t="s">
        <v>29</v>
      </c>
      <c r="D1378" t="s">
        <v>3116</v>
      </c>
      <c r="E1378" t="s">
        <v>3117</v>
      </c>
      <c r="F1378" t="e">
        <f>--ds-btn-loading-info-outline-spinner-size</f>
        <v>#NAME?</v>
      </c>
      <c r="G1378" t="s">
        <v>105</v>
      </c>
      <c r="H1378" t="s">
        <v>105</v>
      </c>
      <c r="I1378" t="s">
        <v>32</v>
      </c>
      <c r="J1378" t="s">
        <v>78</v>
      </c>
      <c r="K1378" t="s">
        <v>1837</v>
      </c>
      <c r="L1378" t="s">
        <v>3096</v>
      </c>
      <c r="M1378" t="s">
        <v>1860</v>
      </c>
      <c r="N1378" t="s">
        <v>3097</v>
      </c>
      <c r="O1378">
        <v>1</v>
      </c>
      <c r="P1378">
        <v>0</v>
      </c>
      <c r="Q1378">
        <v>0</v>
      </c>
      <c r="R1378" s="1">
        <v>46195.686041666668</v>
      </c>
      <c r="S1378" s="1">
        <v>46205.860671296294</v>
      </c>
    </row>
    <row r="1379" spans="1:19" x14ac:dyDescent="0.25">
      <c r="A1379">
        <v>3010110311</v>
      </c>
      <c r="B1379" t="s">
        <v>28</v>
      </c>
      <c r="C1379" t="s">
        <v>29</v>
      </c>
      <c r="D1379" t="s">
        <v>3118</v>
      </c>
      <c r="E1379" t="s">
        <v>3119</v>
      </c>
      <c r="F1379" t="e">
        <f>--ds-btn-loading-info-outline-padding-x</f>
        <v>#NAME?</v>
      </c>
      <c r="G1379" t="s">
        <v>77</v>
      </c>
      <c r="H1379" t="s">
        <v>77</v>
      </c>
      <c r="I1379" t="s">
        <v>32</v>
      </c>
      <c r="J1379" t="s">
        <v>78</v>
      </c>
      <c r="K1379" t="s">
        <v>1837</v>
      </c>
      <c r="L1379" t="s">
        <v>3096</v>
      </c>
      <c r="M1379" t="s">
        <v>79</v>
      </c>
      <c r="N1379" t="s">
        <v>3097</v>
      </c>
      <c r="O1379">
        <v>1</v>
      </c>
      <c r="P1379">
        <v>0</v>
      </c>
      <c r="Q1379">
        <v>0</v>
      </c>
      <c r="R1379" s="1">
        <v>46195.686041666668</v>
      </c>
      <c r="S1379" s="1">
        <v>46205.860671296294</v>
      </c>
    </row>
    <row r="1380" spans="1:19" x14ac:dyDescent="0.25">
      <c r="A1380">
        <v>3010110312</v>
      </c>
      <c r="B1380" t="s">
        <v>28</v>
      </c>
      <c r="C1380" t="s">
        <v>29</v>
      </c>
      <c r="D1380" t="s">
        <v>3120</v>
      </c>
      <c r="E1380" t="s">
        <v>3121</v>
      </c>
      <c r="F1380" t="e">
        <f>--ds-btn-loading-info-outline-padding-y</f>
        <v>#NAME?</v>
      </c>
      <c r="G1380" t="s">
        <v>82</v>
      </c>
      <c r="H1380" t="s">
        <v>82</v>
      </c>
      <c r="I1380" t="s">
        <v>32</v>
      </c>
      <c r="J1380" t="s">
        <v>78</v>
      </c>
      <c r="K1380" t="s">
        <v>1837</v>
      </c>
      <c r="L1380" t="s">
        <v>3096</v>
      </c>
      <c r="M1380" t="s">
        <v>83</v>
      </c>
      <c r="N1380" t="s">
        <v>3097</v>
      </c>
      <c r="O1380">
        <v>1</v>
      </c>
      <c r="P1380">
        <v>0</v>
      </c>
      <c r="Q1380">
        <v>0</v>
      </c>
      <c r="R1380" s="1">
        <v>46195.686041666668</v>
      </c>
      <c r="S1380" s="1">
        <v>46205.860671296294</v>
      </c>
    </row>
    <row r="1381" spans="1:19" x14ac:dyDescent="0.25">
      <c r="A1381">
        <v>3010110313</v>
      </c>
      <c r="B1381" t="s">
        <v>28</v>
      </c>
      <c r="C1381" t="s">
        <v>29</v>
      </c>
      <c r="D1381" t="s">
        <v>3122</v>
      </c>
      <c r="E1381" t="s">
        <v>3123</v>
      </c>
      <c r="F1381" t="e">
        <f>--ds-btn-loading-info-outline-gap</f>
        <v>#NAME?</v>
      </c>
      <c r="G1381" t="s">
        <v>86</v>
      </c>
      <c r="H1381" t="s">
        <v>86</v>
      </c>
      <c r="I1381" t="s">
        <v>32</v>
      </c>
      <c r="J1381" t="s">
        <v>78</v>
      </c>
      <c r="K1381" t="s">
        <v>1837</v>
      </c>
      <c r="L1381" t="s">
        <v>3096</v>
      </c>
      <c r="M1381" t="s">
        <v>87</v>
      </c>
      <c r="N1381" t="s">
        <v>3097</v>
      </c>
      <c r="O1381">
        <v>1</v>
      </c>
      <c r="P1381">
        <v>0</v>
      </c>
      <c r="Q1381">
        <v>0</v>
      </c>
      <c r="R1381" s="1">
        <v>46195.686041666668</v>
      </c>
      <c r="S1381" s="1">
        <v>46205.860671296294</v>
      </c>
    </row>
    <row r="1382" spans="1:19" x14ac:dyDescent="0.25">
      <c r="A1382">
        <v>3010110314</v>
      </c>
      <c r="B1382" t="s">
        <v>28</v>
      </c>
      <c r="C1382" t="s">
        <v>29</v>
      </c>
      <c r="D1382" t="s">
        <v>3124</v>
      </c>
      <c r="E1382" t="s">
        <v>3125</v>
      </c>
      <c r="F1382" t="e">
        <f>--ds-btn-loading-info-outline-focus-ring</f>
        <v>#NAME?</v>
      </c>
      <c r="G1382" t="s">
        <v>1401</v>
      </c>
      <c r="H1382" t="s">
        <v>1401</v>
      </c>
      <c r="I1382" t="s">
        <v>32</v>
      </c>
      <c r="J1382" t="s">
        <v>69</v>
      </c>
      <c r="K1382" t="s">
        <v>1837</v>
      </c>
      <c r="L1382" t="s">
        <v>3096</v>
      </c>
      <c r="M1382" t="s">
        <v>91</v>
      </c>
      <c r="N1382" t="s">
        <v>3097</v>
      </c>
      <c r="O1382">
        <v>1</v>
      </c>
      <c r="P1382">
        <v>0</v>
      </c>
      <c r="Q1382">
        <v>0</v>
      </c>
      <c r="R1382" s="1">
        <v>46195.686041666668</v>
      </c>
      <c r="S1382" s="1">
        <v>46205.860671296294</v>
      </c>
    </row>
    <row r="1383" spans="1:19" x14ac:dyDescent="0.25">
      <c r="A1383">
        <v>3010110315</v>
      </c>
      <c r="B1383" t="s">
        <v>28</v>
      </c>
      <c r="C1383" t="s">
        <v>29</v>
      </c>
      <c r="D1383" t="s">
        <v>3126</v>
      </c>
      <c r="E1383" t="s">
        <v>3127</v>
      </c>
      <c r="F1383" t="e">
        <f>--ds-btn-loading-info-outline-outline</f>
        <v>#NAME?</v>
      </c>
      <c r="G1383" t="s">
        <v>94</v>
      </c>
      <c r="H1383" t="s">
        <v>94</v>
      </c>
      <c r="I1383" t="s">
        <v>32</v>
      </c>
      <c r="J1383" t="s">
        <v>69</v>
      </c>
      <c r="K1383" t="s">
        <v>1837</v>
      </c>
      <c r="L1383" t="s">
        <v>3096</v>
      </c>
      <c r="M1383" t="s">
        <v>95</v>
      </c>
      <c r="N1383" t="s">
        <v>3097</v>
      </c>
      <c r="O1383">
        <v>1</v>
      </c>
      <c r="P1383">
        <v>0</v>
      </c>
      <c r="Q1383">
        <v>0</v>
      </c>
      <c r="R1383" s="1">
        <v>46195.686041666668</v>
      </c>
      <c r="S1383" s="1">
        <v>46205.860671296294</v>
      </c>
    </row>
    <row r="1384" spans="1:19" x14ac:dyDescent="0.25">
      <c r="A1384">
        <v>3010110316</v>
      </c>
      <c r="B1384" t="s">
        <v>28</v>
      </c>
      <c r="C1384" t="s">
        <v>29</v>
      </c>
      <c r="D1384" t="s">
        <v>3128</v>
      </c>
      <c r="E1384" t="s">
        <v>3129</v>
      </c>
      <c r="F1384" t="e">
        <f>--ds-btn-loading-info-outline-transition</f>
        <v>#NAME?</v>
      </c>
      <c r="G1384" t="s">
        <v>98</v>
      </c>
      <c r="H1384" t="s">
        <v>98</v>
      </c>
      <c r="I1384" t="s">
        <v>32</v>
      </c>
      <c r="J1384" t="s">
        <v>69</v>
      </c>
      <c r="K1384" t="s">
        <v>1837</v>
      </c>
      <c r="L1384" t="s">
        <v>3096</v>
      </c>
      <c r="M1384" t="s">
        <v>99</v>
      </c>
      <c r="N1384" t="s">
        <v>3097</v>
      </c>
      <c r="O1384">
        <v>1</v>
      </c>
      <c r="P1384">
        <v>0</v>
      </c>
      <c r="Q1384">
        <v>0</v>
      </c>
      <c r="R1384" s="1">
        <v>46195.686041666668</v>
      </c>
      <c r="S1384" s="1">
        <v>46205.860671296294</v>
      </c>
    </row>
    <row r="1385" spans="1:19" x14ac:dyDescent="0.25">
      <c r="A1385">
        <v>3010110317</v>
      </c>
      <c r="B1385" t="s">
        <v>28</v>
      </c>
      <c r="C1385" t="s">
        <v>29</v>
      </c>
      <c r="D1385" t="s">
        <v>3130</v>
      </c>
      <c r="E1385" t="s">
        <v>3131</v>
      </c>
      <c r="F1385" t="e">
        <f>--ds-btn-loading-info-outline-icon-color</f>
        <v>#NAME?</v>
      </c>
      <c r="G1385" t="s">
        <v>204</v>
      </c>
      <c r="H1385" t="s">
        <v>204</v>
      </c>
      <c r="I1385" t="s">
        <v>32</v>
      </c>
      <c r="J1385" t="s">
        <v>24</v>
      </c>
      <c r="K1385" t="s">
        <v>1837</v>
      </c>
      <c r="L1385" t="s">
        <v>3096</v>
      </c>
      <c r="M1385" t="s">
        <v>102</v>
      </c>
      <c r="N1385" t="s">
        <v>3097</v>
      </c>
      <c r="O1385">
        <v>1</v>
      </c>
      <c r="P1385">
        <v>0</v>
      </c>
      <c r="Q1385">
        <v>0</v>
      </c>
      <c r="R1385" s="1">
        <v>46195.686041666668</v>
      </c>
      <c r="S1385" s="1">
        <v>46205.860671296294</v>
      </c>
    </row>
    <row r="1386" spans="1:19" x14ac:dyDescent="0.25">
      <c r="A1386">
        <v>3010110318</v>
      </c>
      <c r="B1386" t="s">
        <v>28</v>
      </c>
      <c r="C1386" t="s">
        <v>29</v>
      </c>
      <c r="D1386" t="s">
        <v>3132</v>
      </c>
      <c r="E1386" t="s">
        <v>3133</v>
      </c>
      <c r="F1386" t="e">
        <f>--ds-btn-loading-info-outline-icon-size</f>
        <v>#NAME?</v>
      </c>
      <c r="G1386" t="s">
        <v>105</v>
      </c>
      <c r="H1386" t="s">
        <v>105</v>
      </c>
      <c r="I1386" t="s">
        <v>32</v>
      </c>
      <c r="J1386" t="s">
        <v>78</v>
      </c>
      <c r="K1386" t="s">
        <v>1837</v>
      </c>
      <c r="L1386" t="s">
        <v>3096</v>
      </c>
      <c r="M1386" t="s">
        <v>106</v>
      </c>
      <c r="N1386" t="s">
        <v>3097</v>
      </c>
      <c r="O1386">
        <v>1</v>
      </c>
      <c r="P1386">
        <v>0</v>
      </c>
      <c r="Q1386">
        <v>0</v>
      </c>
      <c r="R1386" s="1">
        <v>46195.686041666668</v>
      </c>
      <c r="S1386" s="1">
        <v>46205.860671296294</v>
      </c>
    </row>
    <row r="1387" spans="1:19" x14ac:dyDescent="0.25">
      <c r="A1387">
        <v>3010110319</v>
      </c>
      <c r="B1387" t="s">
        <v>28</v>
      </c>
      <c r="C1387" t="s">
        <v>29</v>
      </c>
      <c r="D1387" t="s">
        <v>3134</v>
      </c>
      <c r="E1387" t="s">
        <v>3135</v>
      </c>
      <c r="F1387" t="e">
        <f>--ds-btn-loading-info-outline-line-height</f>
        <v>#NAME?</v>
      </c>
      <c r="G1387">
        <v>1.2</v>
      </c>
      <c r="H1387">
        <v>1.2</v>
      </c>
      <c r="I1387" t="s">
        <v>32</v>
      </c>
      <c r="J1387" t="s">
        <v>78</v>
      </c>
      <c r="K1387" t="s">
        <v>1837</v>
      </c>
      <c r="L1387" t="s">
        <v>3096</v>
      </c>
      <c r="M1387" t="s">
        <v>109</v>
      </c>
      <c r="N1387" t="s">
        <v>3097</v>
      </c>
      <c r="O1387">
        <v>1</v>
      </c>
      <c r="P1387">
        <v>0</v>
      </c>
      <c r="Q1387">
        <v>0</v>
      </c>
      <c r="R1387" s="1">
        <v>46195.686041666668</v>
      </c>
      <c r="S1387" s="1">
        <v>46205.860671296294</v>
      </c>
    </row>
    <row r="1388" spans="1:19" x14ac:dyDescent="0.25">
      <c r="A1388">
        <v>3010110400</v>
      </c>
      <c r="B1388" t="s">
        <v>28</v>
      </c>
      <c r="C1388" t="s">
        <v>29</v>
      </c>
      <c r="D1388" t="s">
        <v>3136</v>
      </c>
      <c r="E1388" t="s">
        <v>3137</v>
      </c>
      <c r="F1388" t="e">
        <f>--ds-btn-loading-light-outline-bg</f>
        <v>#NAME?</v>
      </c>
      <c r="G1388" t="s">
        <v>112</v>
      </c>
      <c r="H1388" t="s">
        <v>112</v>
      </c>
      <c r="I1388" t="s">
        <v>32</v>
      </c>
      <c r="J1388" t="s">
        <v>24</v>
      </c>
      <c r="K1388" t="s">
        <v>1837</v>
      </c>
      <c r="L1388" t="s">
        <v>3138</v>
      </c>
      <c r="M1388" t="s">
        <v>26</v>
      </c>
      <c r="N1388" t="s">
        <v>3139</v>
      </c>
      <c r="O1388">
        <v>1</v>
      </c>
      <c r="P1388">
        <v>1</v>
      </c>
      <c r="Q1388">
        <v>0</v>
      </c>
      <c r="R1388" s="1">
        <v>46195.686921296299</v>
      </c>
      <c r="S1388" s="1">
        <v>46205.860671296294</v>
      </c>
    </row>
    <row r="1389" spans="1:19" x14ac:dyDescent="0.25">
      <c r="A1389">
        <v>3010110401</v>
      </c>
      <c r="B1389" t="s">
        <v>28</v>
      </c>
      <c r="C1389" t="s">
        <v>29</v>
      </c>
      <c r="D1389" t="s">
        <v>3140</v>
      </c>
      <c r="E1389" t="s">
        <v>3141</v>
      </c>
      <c r="F1389" t="e">
        <f>--ds-btn-loading-light-outline-text</f>
        <v>#NAME?</v>
      </c>
      <c r="G1389" t="s">
        <v>123</v>
      </c>
      <c r="H1389" t="s">
        <v>123</v>
      </c>
      <c r="I1389" t="s">
        <v>32</v>
      </c>
      <c r="J1389" t="s">
        <v>24</v>
      </c>
      <c r="K1389" t="s">
        <v>1837</v>
      </c>
      <c r="L1389" t="s">
        <v>3138</v>
      </c>
      <c r="M1389" t="s">
        <v>38</v>
      </c>
      <c r="N1389" t="s">
        <v>3139</v>
      </c>
      <c r="O1389">
        <v>1</v>
      </c>
      <c r="P1389">
        <v>1</v>
      </c>
      <c r="Q1389">
        <v>0</v>
      </c>
      <c r="R1389" s="1">
        <v>46195.686921296299</v>
      </c>
      <c r="S1389" s="1">
        <v>46205.860671296294</v>
      </c>
    </row>
    <row r="1390" spans="1:19" x14ac:dyDescent="0.25">
      <c r="A1390">
        <v>3010110402</v>
      </c>
      <c r="B1390" t="s">
        <v>28</v>
      </c>
      <c r="C1390" t="s">
        <v>29</v>
      </c>
      <c r="D1390" t="s">
        <v>3142</v>
      </c>
      <c r="E1390" t="s">
        <v>3143</v>
      </c>
      <c r="F1390" t="e">
        <f>--ds-btn-loading-light-outline-border</f>
        <v>#NAME?</v>
      </c>
      <c r="G1390" t="s">
        <v>123</v>
      </c>
      <c r="H1390" t="s">
        <v>123</v>
      </c>
      <c r="I1390" t="s">
        <v>32</v>
      </c>
      <c r="J1390" t="s">
        <v>24</v>
      </c>
      <c r="K1390" t="s">
        <v>1837</v>
      </c>
      <c r="L1390" t="s">
        <v>3138</v>
      </c>
      <c r="M1390" t="s">
        <v>42</v>
      </c>
      <c r="N1390" t="s">
        <v>3139</v>
      </c>
      <c r="O1390">
        <v>1</v>
      </c>
      <c r="P1390">
        <v>1</v>
      </c>
      <c r="Q1390">
        <v>0</v>
      </c>
      <c r="R1390" s="1">
        <v>46195.686921296299</v>
      </c>
      <c r="S1390" s="1">
        <v>46205.860671296294</v>
      </c>
    </row>
    <row r="1391" spans="1:19" x14ac:dyDescent="0.25">
      <c r="A1391">
        <v>3010110403</v>
      </c>
      <c r="B1391" t="s">
        <v>28</v>
      </c>
      <c r="C1391" t="s">
        <v>29</v>
      </c>
      <c r="D1391" t="s">
        <v>3144</v>
      </c>
      <c r="E1391" t="s">
        <v>3145</v>
      </c>
      <c r="F1391" t="e">
        <f>--ds-btn-loading-light-outline-hover-bg</f>
        <v>#NAME?</v>
      </c>
      <c r="G1391" t="s">
        <v>123</v>
      </c>
      <c r="H1391" t="s">
        <v>123</v>
      </c>
      <c r="I1391" t="s">
        <v>32</v>
      </c>
      <c r="J1391" t="s">
        <v>24</v>
      </c>
      <c r="K1391" t="s">
        <v>1837</v>
      </c>
      <c r="L1391" t="s">
        <v>3138</v>
      </c>
      <c r="M1391" t="s">
        <v>46</v>
      </c>
      <c r="N1391" t="s">
        <v>3139</v>
      </c>
      <c r="O1391">
        <v>1</v>
      </c>
      <c r="P1391">
        <v>1</v>
      </c>
      <c r="Q1391">
        <v>0</v>
      </c>
      <c r="R1391" s="1">
        <v>46195.686921296299</v>
      </c>
      <c r="S1391" s="1">
        <v>46205.860671296294</v>
      </c>
    </row>
    <row r="1392" spans="1:19" x14ac:dyDescent="0.25">
      <c r="A1392">
        <v>3010110404</v>
      </c>
      <c r="B1392" t="s">
        <v>28</v>
      </c>
      <c r="C1392" t="s">
        <v>29</v>
      </c>
      <c r="D1392" t="s">
        <v>3146</v>
      </c>
      <c r="E1392" t="s">
        <v>3147</v>
      </c>
      <c r="F1392" t="e">
        <f>--ds-btn-loading-light-outline-hover-text</f>
        <v>#NAME?</v>
      </c>
      <c r="G1392" t="s">
        <v>117</v>
      </c>
      <c r="H1392" t="s">
        <v>117</v>
      </c>
      <c r="I1392" t="s">
        <v>32</v>
      </c>
      <c r="J1392" t="s">
        <v>24</v>
      </c>
      <c r="K1392" t="s">
        <v>1837</v>
      </c>
      <c r="L1392" t="s">
        <v>3138</v>
      </c>
      <c r="M1392" t="s">
        <v>49</v>
      </c>
      <c r="N1392" t="s">
        <v>3139</v>
      </c>
      <c r="O1392">
        <v>1</v>
      </c>
      <c r="P1392">
        <v>1</v>
      </c>
      <c r="Q1392">
        <v>0</v>
      </c>
      <c r="R1392" s="1">
        <v>46195.686921296299</v>
      </c>
      <c r="S1392" s="1">
        <v>46205.860671296294</v>
      </c>
    </row>
    <row r="1393" spans="1:19" x14ac:dyDescent="0.25">
      <c r="A1393">
        <v>3010110405</v>
      </c>
      <c r="B1393" t="s">
        <v>28</v>
      </c>
      <c r="C1393" t="s">
        <v>29</v>
      </c>
      <c r="D1393" t="s">
        <v>3148</v>
      </c>
      <c r="E1393" t="s">
        <v>3149</v>
      </c>
      <c r="F1393" t="e">
        <f>--ds-btn-loading-light-outline-hover-border</f>
        <v>#NAME?</v>
      </c>
      <c r="G1393" t="s">
        <v>1427</v>
      </c>
      <c r="H1393" t="s">
        <v>1427</v>
      </c>
      <c r="I1393" t="s">
        <v>32</v>
      </c>
      <c r="J1393" t="s">
        <v>24</v>
      </c>
      <c r="K1393" t="s">
        <v>1837</v>
      </c>
      <c r="L1393" t="s">
        <v>3138</v>
      </c>
      <c r="M1393" t="s">
        <v>53</v>
      </c>
      <c r="N1393" t="s">
        <v>3139</v>
      </c>
      <c r="O1393">
        <v>1</v>
      </c>
      <c r="P1393">
        <v>1</v>
      </c>
      <c r="Q1393">
        <v>0</v>
      </c>
      <c r="R1393" s="1">
        <v>46195.686921296299</v>
      </c>
      <c r="S1393" s="1">
        <v>46205.860671296294</v>
      </c>
    </row>
    <row r="1394" spans="1:19" x14ac:dyDescent="0.25">
      <c r="A1394">
        <v>3010110406</v>
      </c>
      <c r="B1394" t="s">
        <v>28</v>
      </c>
      <c r="C1394" t="s">
        <v>29</v>
      </c>
      <c r="D1394" t="s">
        <v>3150</v>
      </c>
      <c r="E1394" t="s">
        <v>3151</v>
      </c>
      <c r="F1394" t="e">
        <f>--ds-btn-loading-light-outline-disabled-bg</f>
        <v>#NAME?</v>
      </c>
      <c r="G1394" t="s">
        <v>112</v>
      </c>
      <c r="H1394" t="s">
        <v>112</v>
      </c>
      <c r="I1394" t="s">
        <v>32</v>
      </c>
      <c r="J1394" t="s">
        <v>24</v>
      </c>
      <c r="K1394" t="s">
        <v>1837</v>
      </c>
      <c r="L1394" t="s">
        <v>3138</v>
      </c>
      <c r="M1394" t="s">
        <v>57</v>
      </c>
      <c r="N1394" t="s">
        <v>3139</v>
      </c>
      <c r="O1394">
        <v>1</v>
      </c>
      <c r="P1394">
        <v>1</v>
      </c>
      <c r="Q1394">
        <v>0</v>
      </c>
      <c r="R1394" s="1">
        <v>46195.686921296299</v>
      </c>
      <c r="S1394" s="1">
        <v>46205.860671296294</v>
      </c>
    </row>
    <row r="1395" spans="1:19" x14ac:dyDescent="0.25">
      <c r="A1395">
        <v>3010110407</v>
      </c>
      <c r="B1395" t="s">
        <v>28</v>
      </c>
      <c r="C1395" t="s">
        <v>29</v>
      </c>
      <c r="D1395" t="s">
        <v>3152</v>
      </c>
      <c r="E1395" t="s">
        <v>3153</v>
      </c>
      <c r="F1395" t="e">
        <f>--ds-btn-loading-light-outline-disabled-text</f>
        <v>#NAME?</v>
      </c>
      <c r="G1395" t="s">
        <v>60</v>
      </c>
      <c r="H1395" t="s">
        <v>60</v>
      </c>
      <c r="I1395" t="s">
        <v>32</v>
      </c>
      <c r="J1395" t="s">
        <v>24</v>
      </c>
      <c r="K1395" t="s">
        <v>1837</v>
      </c>
      <c r="L1395" t="s">
        <v>3138</v>
      </c>
      <c r="M1395" t="s">
        <v>61</v>
      </c>
      <c r="N1395" t="s">
        <v>3139</v>
      </c>
      <c r="O1395">
        <v>1</v>
      </c>
      <c r="P1395">
        <v>1</v>
      </c>
      <c r="Q1395">
        <v>0</v>
      </c>
      <c r="R1395" s="1">
        <v>46195.686921296299</v>
      </c>
      <c r="S1395" s="1">
        <v>46205.860671296294</v>
      </c>
    </row>
    <row r="1396" spans="1:19" x14ac:dyDescent="0.25">
      <c r="A1396">
        <v>3010110408</v>
      </c>
      <c r="B1396" t="s">
        <v>28</v>
      </c>
      <c r="C1396" t="s">
        <v>29</v>
      </c>
      <c r="D1396" t="s">
        <v>3154</v>
      </c>
      <c r="E1396" t="s">
        <v>3155</v>
      </c>
      <c r="F1396" t="e">
        <f>--ds-btn-loading-light-outline-disabled-border</f>
        <v>#NAME?</v>
      </c>
      <c r="G1396" t="s">
        <v>120</v>
      </c>
      <c r="H1396" t="s">
        <v>120</v>
      </c>
      <c r="I1396" t="s">
        <v>32</v>
      </c>
      <c r="J1396" t="s">
        <v>24</v>
      </c>
      <c r="K1396" t="s">
        <v>1837</v>
      </c>
      <c r="L1396" t="s">
        <v>3138</v>
      </c>
      <c r="M1396" t="s">
        <v>65</v>
      </c>
      <c r="N1396" t="s">
        <v>3139</v>
      </c>
      <c r="O1396">
        <v>1</v>
      </c>
      <c r="P1396">
        <v>1</v>
      </c>
      <c r="Q1396">
        <v>0</v>
      </c>
      <c r="R1396" s="1">
        <v>46195.686921296299</v>
      </c>
      <c r="S1396" s="1">
        <v>46205.860671296294</v>
      </c>
    </row>
    <row r="1397" spans="1:19" x14ac:dyDescent="0.25">
      <c r="A1397">
        <v>3010110409</v>
      </c>
      <c r="B1397" t="s">
        <v>28</v>
      </c>
      <c r="C1397" t="s">
        <v>29</v>
      </c>
      <c r="D1397" t="s">
        <v>3156</v>
      </c>
      <c r="E1397" t="s">
        <v>3157</v>
      </c>
      <c r="F1397" t="e">
        <f>--ds-btn-loading-light-outline-spinner-color</f>
        <v>#NAME?</v>
      </c>
      <c r="G1397" t="s">
        <v>123</v>
      </c>
      <c r="H1397" t="s">
        <v>123</v>
      </c>
      <c r="I1397" t="s">
        <v>32</v>
      </c>
      <c r="J1397" t="s">
        <v>24</v>
      </c>
      <c r="K1397" t="s">
        <v>1837</v>
      </c>
      <c r="L1397" t="s">
        <v>3138</v>
      </c>
      <c r="M1397" t="s">
        <v>1857</v>
      </c>
      <c r="N1397" t="s">
        <v>3139</v>
      </c>
      <c r="O1397">
        <v>1</v>
      </c>
      <c r="P1397">
        <v>1</v>
      </c>
      <c r="Q1397">
        <v>0</v>
      </c>
      <c r="R1397" s="1">
        <v>46195.686921296299</v>
      </c>
      <c r="S1397" s="1">
        <v>46205.860671296294</v>
      </c>
    </row>
    <row r="1398" spans="1:19" x14ac:dyDescent="0.25">
      <c r="A1398">
        <v>3010110410</v>
      </c>
      <c r="B1398" t="s">
        <v>28</v>
      </c>
      <c r="C1398" t="s">
        <v>29</v>
      </c>
      <c r="D1398" t="s">
        <v>3158</v>
      </c>
      <c r="E1398" t="s">
        <v>3159</v>
      </c>
      <c r="F1398" t="e">
        <f>--ds-btn-loading-light-outline-spinner-size</f>
        <v>#NAME?</v>
      </c>
      <c r="G1398" t="s">
        <v>105</v>
      </c>
      <c r="H1398" t="s">
        <v>105</v>
      </c>
      <c r="I1398" t="s">
        <v>32</v>
      </c>
      <c r="J1398" t="s">
        <v>78</v>
      </c>
      <c r="K1398" t="s">
        <v>1837</v>
      </c>
      <c r="L1398" t="s">
        <v>3138</v>
      </c>
      <c r="M1398" t="s">
        <v>1860</v>
      </c>
      <c r="N1398" t="s">
        <v>3139</v>
      </c>
      <c r="O1398">
        <v>1</v>
      </c>
      <c r="P1398">
        <v>0</v>
      </c>
      <c r="Q1398">
        <v>0</v>
      </c>
      <c r="R1398" s="1">
        <v>46195.686921296299</v>
      </c>
      <c r="S1398" s="1">
        <v>46205.860671296294</v>
      </c>
    </row>
    <row r="1399" spans="1:19" x14ac:dyDescent="0.25">
      <c r="A1399">
        <v>3010110411</v>
      </c>
      <c r="B1399" t="s">
        <v>28</v>
      </c>
      <c r="C1399" t="s">
        <v>29</v>
      </c>
      <c r="D1399" t="s">
        <v>3160</v>
      </c>
      <c r="E1399" t="s">
        <v>3161</v>
      </c>
      <c r="F1399" t="e">
        <f>--ds-btn-loading-light-outline-padding-x</f>
        <v>#NAME?</v>
      </c>
      <c r="G1399" t="s">
        <v>77</v>
      </c>
      <c r="H1399" t="s">
        <v>77</v>
      </c>
      <c r="I1399" t="s">
        <v>32</v>
      </c>
      <c r="J1399" t="s">
        <v>78</v>
      </c>
      <c r="K1399" t="s">
        <v>1837</v>
      </c>
      <c r="L1399" t="s">
        <v>3138</v>
      </c>
      <c r="M1399" t="s">
        <v>79</v>
      </c>
      <c r="N1399" t="s">
        <v>3139</v>
      </c>
      <c r="O1399">
        <v>1</v>
      </c>
      <c r="P1399">
        <v>0</v>
      </c>
      <c r="Q1399">
        <v>0</v>
      </c>
      <c r="R1399" s="1">
        <v>46195.686921296299</v>
      </c>
      <c r="S1399" s="1">
        <v>46205.860671296294</v>
      </c>
    </row>
    <row r="1400" spans="1:19" x14ac:dyDescent="0.25">
      <c r="A1400">
        <v>3010110412</v>
      </c>
      <c r="B1400" t="s">
        <v>28</v>
      </c>
      <c r="C1400" t="s">
        <v>29</v>
      </c>
      <c r="D1400" t="s">
        <v>3162</v>
      </c>
      <c r="E1400" t="s">
        <v>3163</v>
      </c>
      <c r="F1400" t="e">
        <f>--ds-btn-loading-light-outline-padding-y</f>
        <v>#NAME?</v>
      </c>
      <c r="G1400" t="s">
        <v>82</v>
      </c>
      <c r="H1400" t="s">
        <v>82</v>
      </c>
      <c r="I1400" t="s">
        <v>32</v>
      </c>
      <c r="J1400" t="s">
        <v>78</v>
      </c>
      <c r="K1400" t="s">
        <v>1837</v>
      </c>
      <c r="L1400" t="s">
        <v>3138</v>
      </c>
      <c r="M1400" t="s">
        <v>83</v>
      </c>
      <c r="N1400" t="s">
        <v>3139</v>
      </c>
      <c r="O1400">
        <v>1</v>
      </c>
      <c r="P1400">
        <v>0</v>
      </c>
      <c r="Q1400">
        <v>0</v>
      </c>
      <c r="R1400" s="1">
        <v>46195.686921296299</v>
      </c>
      <c r="S1400" s="1">
        <v>46205.860671296294</v>
      </c>
    </row>
    <row r="1401" spans="1:19" x14ac:dyDescent="0.25">
      <c r="A1401">
        <v>3010110413</v>
      </c>
      <c r="B1401" t="s">
        <v>28</v>
      </c>
      <c r="C1401" t="s">
        <v>29</v>
      </c>
      <c r="D1401" t="s">
        <v>3164</v>
      </c>
      <c r="E1401" t="s">
        <v>3165</v>
      </c>
      <c r="F1401" t="e">
        <f>--ds-btn-loading-light-outline-gap</f>
        <v>#NAME?</v>
      </c>
      <c r="G1401" t="s">
        <v>86</v>
      </c>
      <c r="H1401" t="s">
        <v>86</v>
      </c>
      <c r="I1401" t="s">
        <v>32</v>
      </c>
      <c r="J1401" t="s">
        <v>78</v>
      </c>
      <c r="K1401" t="s">
        <v>1837</v>
      </c>
      <c r="L1401" t="s">
        <v>3138</v>
      </c>
      <c r="M1401" t="s">
        <v>87</v>
      </c>
      <c r="N1401" t="s">
        <v>3139</v>
      </c>
      <c r="O1401">
        <v>1</v>
      </c>
      <c r="P1401">
        <v>0</v>
      </c>
      <c r="Q1401">
        <v>0</v>
      </c>
      <c r="R1401" s="1">
        <v>46195.686921296299</v>
      </c>
      <c r="S1401" s="1">
        <v>46205.860671296294</v>
      </c>
    </row>
    <row r="1402" spans="1:19" x14ac:dyDescent="0.25">
      <c r="A1402">
        <v>3010110414</v>
      </c>
      <c r="B1402" t="s">
        <v>28</v>
      </c>
      <c r="C1402" t="s">
        <v>29</v>
      </c>
      <c r="D1402" t="s">
        <v>3166</v>
      </c>
      <c r="E1402" t="s">
        <v>3167</v>
      </c>
      <c r="F1402" t="e">
        <f>--ds-btn-loading-light-outline-focus-ring</f>
        <v>#NAME?</v>
      </c>
      <c r="G1402" t="s">
        <v>1444</v>
      </c>
      <c r="H1402" t="s">
        <v>1444</v>
      </c>
      <c r="I1402" t="s">
        <v>32</v>
      </c>
      <c r="J1402" t="s">
        <v>69</v>
      </c>
      <c r="K1402" t="s">
        <v>1837</v>
      </c>
      <c r="L1402" t="s">
        <v>3138</v>
      </c>
      <c r="M1402" t="s">
        <v>91</v>
      </c>
      <c r="N1402" t="s">
        <v>3139</v>
      </c>
      <c r="O1402">
        <v>1</v>
      </c>
      <c r="P1402">
        <v>0</v>
      </c>
      <c r="Q1402">
        <v>0</v>
      </c>
      <c r="R1402" s="1">
        <v>46195.686921296299</v>
      </c>
      <c r="S1402" s="1">
        <v>46205.860671296294</v>
      </c>
    </row>
    <row r="1403" spans="1:19" x14ac:dyDescent="0.25">
      <c r="A1403">
        <v>3010110415</v>
      </c>
      <c r="B1403" t="s">
        <v>28</v>
      </c>
      <c r="C1403" t="s">
        <v>29</v>
      </c>
      <c r="D1403" t="s">
        <v>3168</v>
      </c>
      <c r="E1403" t="s">
        <v>3169</v>
      </c>
      <c r="F1403" t="e">
        <f>--ds-btn-loading-light-outline-outline</f>
        <v>#NAME?</v>
      </c>
      <c r="G1403" t="s">
        <v>94</v>
      </c>
      <c r="H1403" t="s">
        <v>94</v>
      </c>
      <c r="I1403" t="s">
        <v>32</v>
      </c>
      <c r="J1403" t="s">
        <v>69</v>
      </c>
      <c r="K1403" t="s">
        <v>1837</v>
      </c>
      <c r="L1403" t="s">
        <v>3138</v>
      </c>
      <c r="M1403" t="s">
        <v>95</v>
      </c>
      <c r="N1403" t="s">
        <v>3139</v>
      </c>
      <c r="O1403">
        <v>1</v>
      </c>
      <c r="P1403">
        <v>0</v>
      </c>
      <c r="Q1403">
        <v>0</v>
      </c>
      <c r="R1403" s="1">
        <v>46195.686921296299</v>
      </c>
      <c r="S1403" s="1">
        <v>46205.860671296294</v>
      </c>
    </row>
    <row r="1404" spans="1:19" x14ac:dyDescent="0.25">
      <c r="A1404">
        <v>3010110416</v>
      </c>
      <c r="B1404" t="s">
        <v>28</v>
      </c>
      <c r="C1404" t="s">
        <v>29</v>
      </c>
      <c r="D1404" t="s">
        <v>3170</v>
      </c>
      <c r="E1404" t="s">
        <v>3171</v>
      </c>
      <c r="F1404" t="e">
        <f>--ds-btn-loading-light-outline-transition</f>
        <v>#NAME?</v>
      </c>
      <c r="G1404" t="s">
        <v>98</v>
      </c>
      <c r="H1404" t="s">
        <v>98</v>
      </c>
      <c r="I1404" t="s">
        <v>32</v>
      </c>
      <c r="J1404" t="s">
        <v>69</v>
      </c>
      <c r="K1404" t="s">
        <v>1837</v>
      </c>
      <c r="L1404" t="s">
        <v>3138</v>
      </c>
      <c r="M1404" t="s">
        <v>99</v>
      </c>
      <c r="N1404" t="s">
        <v>3139</v>
      </c>
      <c r="O1404">
        <v>1</v>
      </c>
      <c r="P1404">
        <v>0</v>
      </c>
      <c r="Q1404">
        <v>0</v>
      </c>
      <c r="R1404" s="1">
        <v>46195.686921296299</v>
      </c>
      <c r="S1404" s="1">
        <v>46205.860671296294</v>
      </c>
    </row>
    <row r="1405" spans="1:19" x14ac:dyDescent="0.25">
      <c r="A1405">
        <v>3010110417</v>
      </c>
      <c r="B1405" t="s">
        <v>28</v>
      </c>
      <c r="C1405" t="s">
        <v>29</v>
      </c>
      <c r="D1405" t="s">
        <v>3172</v>
      </c>
      <c r="E1405" t="s">
        <v>3173</v>
      </c>
      <c r="F1405" t="e">
        <f>--ds-btn-loading-light-outline-icon-color</f>
        <v>#NAME?</v>
      </c>
      <c r="G1405" t="s">
        <v>123</v>
      </c>
      <c r="H1405" t="s">
        <v>123</v>
      </c>
      <c r="I1405" t="s">
        <v>32</v>
      </c>
      <c r="J1405" t="s">
        <v>24</v>
      </c>
      <c r="K1405" t="s">
        <v>1837</v>
      </c>
      <c r="L1405" t="s">
        <v>3138</v>
      </c>
      <c r="M1405" t="s">
        <v>102</v>
      </c>
      <c r="N1405" t="s">
        <v>3139</v>
      </c>
      <c r="O1405">
        <v>1</v>
      </c>
      <c r="P1405">
        <v>0</v>
      </c>
      <c r="Q1405">
        <v>0</v>
      </c>
      <c r="R1405" s="1">
        <v>46195.686921296299</v>
      </c>
      <c r="S1405" s="1">
        <v>46205.860671296294</v>
      </c>
    </row>
    <row r="1406" spans="1:19" x14ac:dyDescent="0.25">
      <c r="A1406">
        <v>3010110418</v>
      </c>
      <c r="B1406" t="s">
        <v>28</v>
      </c>
      <c r="C1406" t="s">
        <v>29</v>
      </c>
      <c r="D1406" t="s">
        <v>3174</v>
      </c>
      <c r="E1406" t="s">
        <v>3175</v>
      </c>
      <c r="F1406" t="e">
        <f>--ds-btn-loading-light-outline-icon-size</f>
        <v>#NAME?</v>
      </c>
      <c r="G1406" t="s">
        <v>105</v>
      </c>
      <c r="H1406" t="s">
        <v>105</v>
      </c>
      <c r="I1406" t="s">
        <v>32</v>
      </c>
      <c r="J1406" t="s">
        <v>78</v>
      </c>
      <c r="K1406" t="s">
        <v>1837</v>
      </c>
      <c r="L1406" t="s">
        <v>3138</v>
      </c>
      <c r="M1406" t="s">
        <v>106</v>
      </c>
      <c r="N1406" t="s">
        <v>3139</v>
      </c>
      <c r="O1406">
        <v>1</v>
      </c>
      <c r="P1406">
        <v>0</v>
      </c>
      <c r="Q1406">
        <v>0</v>
      </c>
      <c r="R1406" s="1">
        <v>46195.686921296299</v>
      </c>
      <c r="S1406" s="1">
        <v>46205.860671296294</v>
      </c>
    </row>
    <row r="1407" spans="1:19" x14ac:dyDescent="0.25">
      <c r="A1407">
        <v>3010110419</v>
      </c>
      <c r="B1407" t="s">
        <v>28</v>
      </c>
      <c r="C1407" t="s">
        <v>29</v>
      </c>
      <c r="D1407" t="s">
        <v>3176</v>
      </c>
      <c r="E1407" t="s">
        <v>3177</v>
      </c>
      <c r="F1407" t="e">
        <f>--ds-btn-loading-light-outline-line-height</f>
        <v>#NAME?</v>
      </c>
      <c r="G1407">
        <v>1.2</v>
      </c>
      <c r="H1407">
        <v>1.2</v>
      </c>
      <c r="I1407" t="s">
        <v>32</v>
      </c>
      <c r="J1407" t="s">
        <v>78</v>
      </c>
      <c r="K1407" t="s">
        <v>1837</v>
      </c>
      <c r="L1407" t="s">
        <v>3138</v>
      </c>
      <c r="M1407" t="s">
        <v>109</v>
      </c>
      <c r="N1407" t="s">
        <v>3139</v>
      </c>
      <c r="O1407">
        <v>1</v>
      </c>
      <c r="P1407">
        <v>0</v>
      </c>
      <c r="Q1407">
        <v>0</v>
      </c>
      <c r="R1407" s="1">
        <v>46195.686921296299</v>
      </c>
      <c r="S1407" s="1">
        <v>46205.860671296294</v>
      </c>
    </row>
    <row r="1408" spans="1:19" x14ac:dyDescent="0.25">
      <c r="A1408">
        <v>3010110500</v>
      </c>
      <c r="B1408" t="s">
        <v>28</v>
      </c>
      <c r="C1408" t="s">
        <v>29</v>
      </c>
      <c r="D1408" t="s">
        <v>3178</v>
      </c>
      <c r="E1408" t="s">
        <v>3179</v>
      </c>
      <c r="F1408" t="e">
        <f>--ds-btn-loading-dark-outline-bg</f>
        <v>#NAME?</v>
      </c>
      <c r="G1408" t="s">
        <v>112</v>
      </c>
      <c r="H1408" t="s">
        <v>112</v>
      </c>
      <c r="I1408" t="s">
        <v>32</v>
      </c>
      <c r="J1408" t="s">
        <v>24</v>
      </c>
      <c r="K1408" t="s">
        <v>1837</v>
      </c>
      <c r="L1408" t="s">
        <v>3180</v>
      </c>
      <c r="M1408" t="s">
        <v>26</v>
      </c>
      <c r="N1408" t="s">
        <v>3181</v>
      </c>
      <c r="O1408">
        <v>1</v>
      </c>
      <c r="P1408">
        <v>1</v>
      </c>
      <c r="Q1408">
        <v>0</v>
      </c>
      <c r="R1408" s="1">
        <v>46195.687442129631</v>
      </c>
      <c r="S1408" s="1">
        <v>46205.860671296294</v>
      </c>
    </row>
    <row r="1409" spans="1:19" x14ac:dyDescent="0.25">
      <c r="A1409">
        <v>3010110501</v>
      </c>
      <c r="B1409" t="s">
        <v>28</v>
      </c>
      <c r="C1409" t="s">
        <v>29</v>
      </c>
      <c r="D1409" t="s">
        <v>3182</v>
      </c>
      <c r="E1409" t="s">
        <v>3183</v>
      </c>
      <c r="F1409" t="e">
        <f>--ds-btn-loading-dark-outline-text</f>
        <v>#NAME?</v>
      </c>
      <c r="G1409" t="s">
        <v>117</v>
      </c>
      <c r="H1409" t="s">
        <v>117</v>
      </c>
      <c r="I1409" t="s">
        <v>32</v>
      </c>
      <c r="J1409" t="s">
        <v>24</v>
      </c>
      <c r="K1409" t="s">
        <v>1837</v>
      </c>
      <c r="L1409" t="s">
        <v>3180</v>
      </c>
      <c r="M1409" t="s">
        <v>38</v>
      </c>
      <c r="N1409" t="s">
        <v>3181</v>
      </c>
      <c r="O1409">
        <v>1</v>
      </c>
      <c r="P1409">
        <v>1</v>
      </c>
      <c r="Q1409">
        <v>0</v>
      </c>
      <c r="R1409" s="1">
        <v>46195.687442129631</v>
      </c>
      <c r="S1409" s="1">
        <v>46205.860671296294</v>
      </c>
    </row>
    <row r="1410" spans="1:19" x14ac:dyDescent="0.25">
      <c r="A1410">
        <v>3010110502</v>
      </c>
      <c r="B1410" t="s">
        <v>28</v>
      </c>
      <c r="C1410" t="s">
        <v>29</v>
      </c>
      <c r="D1410" t="s">
        <v>3184</v>
      </c>
      <c r="E1410" t="s">
        <v>3185</v>
      </c>
      <c r="F1410" t="e">
        <f>--ds-btn-loading-dark-outline-border</f>
        <v>#NAME?</v>
      </c>
      <c r="G1410" t="s">
        <v>117</v>
      </c>
      <c r="H1410" t="s">
        <v>117</v>
      </c>
      <c r="I1410" t="s">
        <v>32</v>
      </c>
      <c r="J1410" t="s">
        <v>24</v>
      </c>
      <c r="K1410" t="s">
        <v>1837</v>
      </c>
      <c r="L1410" t="s">
        <v>3180</v>
      </c>
      <c r="M1410" t="s">
        <v>42</v>
      </c>
      <c r="N1410" t="s">
        <v>3181</v>
      </c>
      <c r="O1410">
        <v>1</v>
      </c>
      <c r="P1410">
        <v>1</v>
      </c>
      <c r="Q1410">
        <v>0</v>
      </c>
      <c r="R1410" s="1">
        <v>46195.687442129631</v>
      </c>
      <c r="S1410" s="1">
        <v>46205.860671296294</v>
      </c>
    </row>
    <row r="1411" spans="1:19" x14ac:dyDescent="0.25">
      <c r="A1411">
        <v>3010110503</v>
      </c>
      <c r="B1411" t="s">
        <v>28</v>
      </c>
      <c r="C1411" t="s">
        <v>29</v>
      </c>
      <c r="D1411" t="s">
        <v>3186</v>
      </c>
      <c r="E1411" t="s">
        <v>3187</v>
      </c>
      <c r="F1411" t="e">
        <f>--ds-btn-loading-dark-outline-hover-bg</f>
        <v>#NAME?</v>
      </c>
      <c r="G1411" t="s">
        <v>117</v>
      </c>
      <c r="H1411" t="s">
        <v>117</v>
      </c>
      <c r="I1411" t="s">
        <v>32</v>
      </c>
      <c r="J1411" t="s">
        <v>24</v>
      </c>
      <c r="K1411" t="s">
        <v>1837</v>
      </c>
      <c r="L1411" t="s">
        <v>3180</v>
      </c>
      <c r="M1411" t="s">
        <v>46</v>
      </c>
      <c r="N1411" t="s">
        <v>3181</v>
      </c>
      <c r="O1411">
        <v>1</v>
      </c>
      <c r="P1411">
        <v>1</v>
      </c>
      <c r="Q1411">
        <v>0</v>
      </c>
      <c r="R1411" s="1">
        <v>46195.687442129631</v>
      </c>
      <c r="S1411" s="1">
        <v>46205.860671296294</v>
      </c>
    </row>
    <row r="1412" spans="1:19" x14ac:dyDescent="0.25">
      <c r="A1412">
        <v>3010110504</v>
      </c>
      <c r="B1412" t="s">
        <v>28</v>
      </c>
      <c r="C1412" t="s">
        <v>29</v>
      </c>
      <c r="D1412" t="s">
        <v>3188</v>
      </c>
      <c r="E1412" t="s">
        <v>3189</v>
      </c>
      <c r="F1412" t="e">
        <f>--ds-btn-loading-dark-outline-hover-text</f>
        <v>#NAME?</v>
      </c>
      <c r="G1412" t="s">
        <v>37</v>
      </c>
      <c r="H1412" t="s">
        <v>37</v>
      </c>
      <c r="I1412" t="s">
        <v>32</v>
      </c>
      <c r="J1412" t="s">
        <v>24</v>
      </c>
      <c r="K1412" t="s">
        <v>1837</v>
      </c>
      <c r="L1412" t="s">
        <v>3180</v>
      </c>
      <c r="M1412" t="s">
        <v>49</v>
      </c>
      <c r="N1412" t="s">
        <v>3181</v>
      </c>
      <c r="O1412">
        <v>1</v>
      </c>
      <c r="P1412">
        <v>1</v>
      </c>
      <c r="Q1412">
        <v>0</v>
      </c>
      <c r="R1412" s="1">
        <v>46195.687442129631</v>
      </c>
      <c r="S1412" s="1">
        <v>46205.860671296294</v>
      </c>
    </row>
    <row r="1413" spans="1:19" x14ac:dyDescent="0.25">
      <c r="A1413">
        <v>3010110505</v>
      </c>
      <c r="B1413" t="s">
        <v>28</v>
      </c>
      <c r="C1413" t="s">
        <v>29</v>
      </c>
      <c r="D1413" t="s">
        <v>3190</v>
      </c>
      <c r="E1413" t="s">
        <v>3191</v>
      </c>
      <c r="F1413" t="e">
        <f>--ds-btn-loading-dark-outline-hover-border</f>
        <v>#NAME?</v>
      </c>
      <c r="G1413" t="s">
        <v>261</v>
      </c>
      <c r="H1413" t="s">
        <v>261</v>
      </c>
      <c r="I1413" t="s">
        <v>32</v>
      </c>
      <c r="J1413" t="s">
        <v>24</v>
      </c>
      <c r="K1413" t="s">
        <v>1837</v>
      </c>
      <c r="L1413" t="s">
        <v>3180</v>
      </c>
      <c r="M1413" t="s">
        <v>53</v>
      </c>
      <c r="N1413" t="s">
        <v>3181</v>
      </c>
      <c r="O1413">
        <v>1</v>
      </c>
      <c r="P1413">
        <v>1</v>
      </c>
      <c r="Q1413">
        <v>0</v>
      </c>
      <c r="R1413" s="1">
        <v>46195.687442129631</v>
      </c>
      <c r="S1413" s="1">
        <v>46205.860671296294</v>
      </c>
    </row>
    <row r="1414" spans="1:19" x14ac:dyDescent="0.25">
      <c r="A1414">
        <v>3010110506</v>
      </c>
      <c r="B1414" t="s">
        <v>28</v>
      </c>
      <c r="C1414" t="s">
        <v>29</v>
      </c>
      <c r="D1414" t="s">
        <v>3192</v>
      </c>
      <c r="E1414" t="s">
        <v>3193</v>
      </c>
      <c r="F1414" t="e">
        <f>--ds-btn-loading-dark-outline-disabled-bg</f>
        <v>#NAME?</v>
      </c>
      <c r="G1414" t="s">
        <v>112</v>
      </c>
      <c r="H1414" t="s">
        <v>112</v>
      </c>
      <c r="I1414" t="s">
        <v>32</v>
      </c>
      <c r="J1414" t="s">
        <v>24</v>
      </c>
      <c r="K1414" t="s">
        <v>1837</v>
      </c>
      <c r="L1414" t="s">
        <v>3180</v>
      </c>
      <c r="M1414" t="s">
        <v>57</v>
      </c>
      <c r="N1414" t="s">
        <v>3181</v>
      </c>
      <c r="O1414">
        <v>1</v>
      </c>
      <c r="P1414">
        <v>1</v>
      </c>
      <c r="Q1414">
        <v>0</v>
      </c>
      <c r="R1414" s="1">
        <v>46195.687442129631</v>
      </c>
      <c r="S1414" s="1">
        <v>46205.860671296294</v>
      </c>
    </row>
    <row r="1415" spans="1:19" x14ac:dyDescent="0.25">
      <c r="A1415">
        <v>3010110507</v>
      </c>
      <c r="B1415" t="s">
        <v>28</v>
      </c>
      <c r="C1415" t="s">
        <v>29</v>
      </c>
      <c r="D1415" t="s">
        <v>3194</v>
      </c>
      <c r="E1415" t="s">
        <v>3195</v>
      </c>
      <c r="F1415" t="e">
        <f>--ds-btn-loading-dark-outline-disabled-text</f>
        <v>#NAME?</v>
      </c>
      <c r="G1415" t="s">
        <v>60</v>
      </c>
      <c r="H1415" t="s">
        <v>60</v>
      </c>
      <c r="I1415" t="s">
        <v>32</v>
      </c>
      <c r="J1415" t="s">
        <v>24</v>
      </c>
      <c r="K1415" t="s">
        <v>1837</v>
      </c>
      <c r="L1415" t="s">
        <v>3180</v>
      </c>
      <c r="M1415" t="s">
        <v>61</v>
      </c>
      <c r="N1415" t="s">
        <v>3181</v>
      </c>
      <c r="O1415">
        <v>1</v>
      </c>
      <c r="P1415">
        <v>1</v>
      </c>
      <c r="Q1415">
        <v>0</v>
      </c>
      <c r="R1415" s="1">
        <v>46195.687442129631</v>
      </c>
      <c r="S1415" s="1">
        <v>46205.860671296294</v>
      </c>
    </row>
    <row r="1416" spans="1:19" x14ac:dyDescent="0.25">
      <c r="A1416">
        <v>3010110508</v>
      </c>
      <c r="B1416" t="s">
        <v>28</v>
      </c>
      <c r="C1416" t="s">
        <v>29</v>
      </c>
      <c r="D1416" t="s">
        <v>3196</v>
      </c>
      <c r="E1416" t="s">
        <v>3197</v>
      </c>
      <c r="F1416" t="e">
        <f>--ds-btn-loading-dark-outline-disabled-border</f>
        <v>#NAME?</v>
      </c>
      <c r="G1416" t="s">
        <v>1475</v>
      </c>
      <c r="H1416" t="s">
        <v>1475</v>
      </c>
      <c r="I1416" t="s">
        <v>32</v>
      </c>
      <c r="J1416" t="s">
        <v>24</v>
      </c>
      <c r="K1416" t="s">
        <v>1837</v>
      </c>
      <c r="L1416" t="s">
        <v>3180</v>
      </c>
      <c r="M1416" t="s">
        <v>65</v>
      </c>
      <c r="N1416" t="s">
        <v>3181</v>
      </c>
      <c r="O1416">
        <v>1</v>
      </c>
      <c r="P1416">
        <v>1</v>
      </c>
      <c r="Q1416">
        <v>0</v>
      </c>
      <c r="R1416" s="1">
        <v>46195.687442129631</v>
      </c>
      <c r="S1416" s="1">
        <v>46205.860671296294</v>
      </c>
    </row>
    <row r="1417" spans="1:19" x14ac:dyDescent="0.25">
      <c r="A1417">
        <v>3010110509</v>
      </c>
      <c r="B1417" t="s">
        <v>28</v>
      </c>
      <c r="C1417" t="s">
        <v>29</v>
      </c>
      <c r="D1417" t="s">
        <v>3198</v>
      </c>
      <c r="E1417" t="s">
        <v>3199</v>
      </c>
      <c r="F1417" t="e">
        <f>--ds-btn-loading-dark-outline-spinner-color</f>
        <v>#NAME?</v>
      </c>
      <c r="G1417" t="s">
        <v>117</v>
      </c>
      <c r="H1417" t="s">
        <v>117</v>
      </c>
      <c r="I1417" t="s">
        <v>32</v>
      </c>
      <c r="J1417" t="s">
        <v>24</v>
      </c>
      <c r="K1417" t="s">
        <v>1837</v>
      </c>
      <c r="L1417" t="s">
        <v>3180</v>
      </c>
      <c r="M1417" t="s">
        <v>1857</v>
      </c>
      <c r="N1417" t="s">
        <v>3181</v>
      </c>
      <c r="O1417">
        <v>1</v>
      </c>
      <c r="P1417">
        <v>1</v>
      </c>
      <c r="Q1417">
        <v>0</v>
      </c>
      <c r="R1417" s="1">
        <v>46195.687442129631</v>
      </c>
      <c r="S1417" s="1">
        <v>46205.860671296294</v>
      </c>
    </row>
    <row r="1418" spans="1:19" x14ac:dyDescent="0.25">
      <c r="A1418">
        <v>3010110510</v>
      </c>
      <c r="B1418" t="s">
        <v>28</v>
      </c>
      <c r="C1418" t="s">
        <v>29</v>
      </c>
      <c r="D1418" t="s">
        <v>3200</v>
      </c>
      <c r="E1418" t="s">
        <v>3201</v>
      </c>
      <c r="F1418" t="e">
        <f>--ds-btn-loading-dark-outline-spinner-size</f>
        <v>#NAME?</v>
      </c>
      <c r="G1418" t="s">
        <v>105</v>
      </c>
      <c r="H1418" t="s">
        <v>105</v>
      </c>
      <c r="I1418" t="s">
        <v>32</v>
      </c>
      <c r="J1418" t="s">
        <v>78</v>
      </c>
      <c r="K1418" t="s">
        <v>1837</v>
      </c>
      <c r="L1418" t="s">
        <v>3180</v>
      </c>
      <c r="M1418" t="s">
        <v>1860</v>
      </c>
      <c r="N1418" t="s">
        <v>3181</v>
      </c>
      <c r="O1418">
        <v>1</v>
      </c>
      <c r="P1418">
        <v>0</v>
      </c>
      <c r="Q1418">
        <v>0</v>
      </c>
      <c r="R1418" s="1">
        <v>46195.687442129631</v>
      </c>
      <c r="S1418" s="1">
        <v>46205.860671296294</v>
      </c>
    </row>
    <row r="1419" spans="1:19" x14ac:dyDescent="0.25">
      <c r="A1419">
        <v>3010110511</v>
      </c>
      <c r="B1419" t="s">
        <v>28</v>
      </c>
      <c r="C1419" t="s">
        <v>29</v>
      </c>
      <c r="D1419" t="s">
        <v>3202</v>
      </c>
      <c r="E1419" t="s">
        <v>3203</v>
      </c>
      <c r="F1419" t="e">
        <f>--ds-btn-loading-dark-outline-padding-x</f>
        <v>#NAME?</v>
      </c>
      <c r="G1419" t="s">
        <v>77</v>
      </c>
      <c r="H1419" t="s">
        <v>77</v>
      </c>
      <c r="I1419" t="s">
        <v>32</v>
      </c>
      <c r="J1419" t="s">
        <v>78</v>
      </c>
      <c r="K1419" t="s">
        <v>1837</v>
      </c>
      <c r="L1419" t="s">
        <v>3180</v>
      </c>
      <c r="M1419" t="s">
        <v>79</v>
      </c>
      <c r="N1419" t="s">
        <v>3181</v>
      </c>
      <c r="O1419">
        <v>1</v>
      </c>
      <c r="P1419">
        <v>0</v>
      </c>
      <c r="Q1419">
        <v>0</v>
      </c>
      <c r="R1419" s="1">
        <v>46195.687442129631</v>
      </c>
      <c r="S1419" s="1">
        <v>46205.860671296294</v>
      </c>
    </row>
    <row r="1420" spans="1:19" x14ac:dyDescent="0.25">
      <c r="A1420">
        <v>3010110512</v>
      </c>
      <c r="B1420" t="s">
        <v>28</v>
      </c>
      <c r="C1420" t="s">
        <v>29</v>
      </c>
      <c r="D1420" t="s">
        <v>3204</v>
      </c>
      <c r="E1420" t="s">
        <v>3205</v>
      </c>
      <c r="F1420" t="e">
        <f>--ds-btn-loading-dark-outline-padding-y</f>
        <v>#NAME?</v>
      </c>
      <c r="G1420" t="s">
        <v>82</v>
      </c>
      <c r="H1420" t="s">
        <v>82</v>
      </c>
      <c r="I1420" t="s">
        <v>32</v>
      </c>
      <c r="J1420" t="s">
        <v>78</v>
      </c>
      <c r="K1420" t="s">
        <v>1837</v>
      </c>
      <c r="L1420" t="s">
        <v>3180</v>
      </c>
      <c r="M1420" t="s">
        <v>83</v>
      </c>
      <c r="N1420" t="s">
        <v>3181</v>
      </c>
      <c r="O1420">
        <v>1</v>
      </c>
      <c r="P1420">
        <v>0</v>
      </c>
      <c r="Q1420">
        <v>0</v>
      </c>
      <c r="R1420" s="1">
        <v>46195.687442129631</v>
      </c>
      <c r="S1420" s="1">
        <v>46205.860671296294</v>
      </c>
    </row>
    <row r="1421" spans="1:19" x14ac:dyDescent="0.25">
      <c r="A1421">
        <v>3010110513</v>
      </c>
      <c r="B1421" t="s">
        <v>28</v>
      </c>
      <c r="C1421" t="s">
        <v>29</v>
      </c>
      <c r="D1421" t="s">
        <v>3206</v>
      </c>
      <c r="E1421" t="s">
        <v>3207</v>
      </c>
      <c r="F1421" t="e">
        <f>--ds-btn-loading-dark-outline-gap</f>
        <v>#NAME?</v>
      </c>
      <c r="G1421" t="s">
        <v>86</v>
      </c>
      <c r="H1421" t="s">
        <v>86</v>
      </c>
      <c r="I1421" t="s">
        <v>32</v>
      </c>
      <c r="J1421" t="s">
        <v>78</v>
      </c>
      <c r="K1421" t="s">
        <v>1837</v>
      </c>
      <c r="L1421" t="s">
        <v>3180</v>
      </c>
      <c r="M1421" t="s">
        <v>87</v>
      </c>
      <c r="N1421" t="s">
        <v>3181</v>
      </c>
      <c r="O1421">
        <v>1</v>
      </c>
      <c r="P1421">
        <v>0</v>
      </c>
      <c r="Q1421">
        <v>0</v>
      </c>
      <c r="R1421" s="1">
        <v>46195.687442129631</v>
      </c>
      <c r="S1421" s="1">
        <v>46205.860671296294</v>
      </c>
    </row>
    <row r="1422" spans="1:19" x14ac:dyDescent="0.25">
      <c r="A1422">
        <v>3010110514</v>
      </c>
      <c r="B1422" t="s">
        <v>28</v>
      </c>
      <c r="C1422" t="s">
        <v>29</v>
      </c>
      <c r="D1422" t="s">
        <v>3208</v>
      </c>
      <c r="E1422" t="s">
        <v>3209</v>
      </c>
      <c r="F1422" t="e">
        <f>--ds-btn-loading-dark-outline-focus-ring</f>
        <v>#NAME?</v>
      </c>
      <c r="G1422" t="s">
        <v>1488</v>
      </c>
      <c r="H1422" t="s">
        <v>1488</v>
      </c>
      <c r="I1422" t="s">
        <v>32</v>
      </c>
      <c r="J1422" t="s">
        <v>69</v>
      </c>
      <c r="K1422" t="s">
        <v>1837</v>
      </c>
      <c r="L1422" t="s">
        <v>3180</v>
      </c>
      <c r="M1422" t="s">
        <v>91</v>
      </c>
      <c r="N1422" t="s">
        <v>3181</v>
      </c>
      <c r="O1422">
        <v>1</v>
      </c>
      <c r="P1422">
        <v>0</v>
      </c>
      <c r="Q1422">
        <v>0</v>
      </c>
      <c r="R1422" s="1">
        <v>46195.687442129631</v>
      </c>
      <c r="S1422" s="1">
        <v>46205.860671296294</v>
      </c>
    </row>
    <row r="1423" spans="1:19" x14ac:dyDescent="0.25">
      <c r="A1423">
        <v>3010110515</v>
      </c>
      <c r="B1423" t="s">
        <v>28</v>
      </c>
      <c r="C1423" t="s">
        <v>29</v>
      </c>
      <c r="D1423" t="s">
        <v>3210</v>
      </c>
      <c r="E1423" t="s">
        <v>3211</v>
      </c>
      <c r="F1423" t="e">
        <f>--ds-btn-loading-dark-outline-outline</f>
        <v>#NAME?</v>
      </c>
      <c r="G1423" t="s">
        <v>94</v>
      </c>
      <c r="H1423" t="s">
        <v>94</v>
      </c>
      <c r="I1423" t="s">
        <v>32</v>
      </c>
      <c r="J1423" t="s">
        <v>69</v>
      </c>
      <c r="K1423" t="s">
        <v>1837</v>
      </c>
      <c r="L1423" t="s">
        <v>3180</v>
      </c>
      <c r="M1423" t="s">
        <v>95</v>
      </c>
      <c r="N1423" t="s">
        <v>3181</v>
      </c>
      <c r="O1423">
        <v>1</v>
      </c>
      <c r="P1423">
        <v>0</v>
      </c>
      <c r="Q1423">
        <v>0</v>
      </c>
      <c r="R1423" s="1">
        <v>46195.687442129631</v>
      </c>
      <c r="S1423" s="1">
        <v>46205.860671296294</v>
      </c>
    </row>
    <row r="1424" spans="1:19" x14ac:dyDescent="0.25">
      <c r="A1424">
        <v>3010110516</v>
      </c>
      <c r="B1424" t="s">
        <v>28</v>
      </c>
      <c r="C1424" t="s">
        <v>29</v>
      </c>
      <c r="D1424" t="s">
        <v>3212</v>
      </c>
      <c r="E1424" t="s">
        <v>3213</v>
      </c>
      <c r="F1424" t="e">
        <f>--ds-btn-loading-dark-outline-transition</f>
        <v>#NAME?</v>
      </c>
      <c r="G1424" t="s">
        <v>98</v>
      </c>
      <c r="H1424" t="s">
        <v>98</v>
      </c>
      <c r="I1424" t="s">
        <v>32</v>
      </c>
      <c r="J1424" t="s">
        <v>69</v>
      </c>
      <c r="K1424" t="s">
        <v>1837</v>
      </c>
      <c r="L1424" t="s">
        <v>3180</v>
      </c>
      <c r="M1424" t="s">
        <v>99</v>
      </c>
      <c r="N1424" t="s">
        <v>3181</v>
      </c>
      <c r="O1424">
        <v>1</v>
      </c>
      <c r="P1424">
        <v>0</v>
      </c>
      <c r="Q1424">
        <v>0</v>
      </c>
      <c r="R1424" s="1">
        <v>46195.687442129631</v>
      </c>
      <c r="S1424" s="1">
        <v>46205.860671296294</v>
      </c>
    </row>
    <row r="1425" spans="1:19" x14ac:dyDescent="0.25">
      <c r="A1425">
        <v>3010110517</v>
      </c>
      <c r="B1425" t="s">
        <v>28</v>
      </c>
      <c r="C1425" t="s">
        <v>29</v>
      </c>
      <c r="D1425" t="s">
        <v>3214</v>
      </c>
      <c r="E1425" t="s">
        <v>3215</v>
      </c>
      <c r="F1425" t="e">
        <f>--ds-btn-loading-dark-outline-icon-color</f>
        <v>#NAME?</v>
      </c>
      <c r="G1425" t="s">
        <v>117</v>
      </c>
      <c r="H1425" t="s">
        <v>117</v>
      </c>
      <c r="I1425" t="s">
        <v>32</v>
      </c>
      <c r="J1425" t="s">
        <v>24</v>
      </c>
      <c r="K1425" t="s">
        <v>1837</v>
      </c>
      <c r="L1425" t="s">
        <v>3180</v>
      </c>
      <c r="M1425" t="s">
        <v>102</v>
      </c>
      <c r="N1425" t="s">
        <v>3181</v>
      </c>
      <c r="O1425">
        <v>1</v>
      </c>
      <c r="P1425">
        <v>0</v>
      </c>
      <c r="Q1425">
        <v>0</v>
      </c>
      <c r="R1425" s="1">
        <v>46195.687442129631</v>
      </c>
      <c r="S1425" s="1">
        <v>46205.860671296294</v>
      </c>
    </row>
    <row r="1426" spans="1:19" x14ac:dyDescent="0.25">
      <c r="A1426">
        <v>3010110518</v>
      </c>
      <c r="B1426" t="s">
        <v>28</v>
      </c>
      <c r="C1426" t="s">
        <v>29</v>
      </c>
      <c r="D1426" t="s">
        <v>3216</v>
      </c>
      <c r="E1426" t="s">
        <v>3217</v>
      </c>
      <c r="F1426" t="e">
        <f>--ds-btn-loading-dark-outline-icon-size</f>
        <v>#NAME?</v>
      </c>
      <c r="G1426" t="s">
        <v>105</v>
      </c>
      <c r="H1426" t="s">
        <v>105</v>
      </c>
      <c r="I1426" t="s">
        <v>32</v>
      </c>
      <c r="J1426" t="s">
        <v>78</v>
      </c>
      <c r="K1426" t="s">
        <v>1837</v>
      </c>
      <c r="L1426" t="s">
        <v>3180</v>
      </c>
      <c r="M1426" t="s">
        <v>106</v>
      </c>
      <c r="N1426" t="s">
        <v>3181</v>
      </c>
      <c r="O1426">
        <v>1</v>
      </c>
      <c r="P1426">
        <v>0</v>
      </c>
      <c r="Q1426">
        <v>0</v>
      </c>
      <c r="R1426" s="1">
        <v>46195.687442129631</v>
      </c>
      <c r="S1426" s="1">
        <v>46205.860671296294</v>
      </c>
    </row>
    <row r="1427" spans="1:19" x14ac:dyDescent="0.25">
      <c r="A1427">
        <v>3010110519</v>
      </c>
      <c r="B1427" t="s">
        <v>28</v>
      </c>
      <c r="C1427" t="s">
        <v>29</v>
      </c>
      <c r="D1427" t="s">
        <v>3218</v>
      </c>
      <c r="E1427" t="s">
        <v>3219</v>
      </c>
      <c r="F1427" t="e">
        <f>--ds-btn-loading-dark-outline-line-height</f>
        <v>#NAME?</v>
      </c>
      <c r="G1427">
        <v>1.2</v>
      </c>
      <c r="H1427">
        <v>1.2</v>
      </c>
      <c r="I1427" t="s">
        <v>32</v>
      </c>
      <c r="J1427" t="s">
        <v>78</v>
      </c>
      <c r="K1427" t="s">
        <v>1837</v>
      </c>
      <c r="L1427" t="s">
        <v>3180</v>
      </c>
      <c r="M1427" t="s">
        <v>109</v>
      </c>
      <c r="N1427" t="s">
        <v>3181</v>
      </c>
      <c r="O1427">
        <v>1</v>
      </c>
      <c r="P1427">
        <v>0</v>
      </c>
      <c r="Q1427">
        <v>0</v>
      </c>
      <c r="R1427" s="1">
        <v>46195.687442129631</v>
      </c>
      <c r="S1427" s="1">
        <v>46205.860671296294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2BE8-14CE-429B-BC0E-29975B2D9371}">
  <dimension ref="B2:E15"/>
  <sheetViews>
    <sheetView tabSelected="1" workbookViewId="0">
      <selection activeCell="E3" sqref="E3"/>
    </sheetView>
  </sheetViews>
  <sheetFormatPr defaultRowHeight="15" x14ac:dyDescent="0.25"/>
  <cols>
    <col min="2" max="2" width="9.140625" style="2"/>
    <col min="3" max="3" width="12.28515625" style="3" bestFit="1" customWidth="1"/>
    <col min="4" max="4" width="27.140625" style="3" customWidth="1"/>
    <col min="5" max="5" width="18.140625" style="3" bestFit="1" customWidth="1"/>
    <col min="8" max="8" width="11" bestFit="1" customWidth="1"/>
  </cols>
  <sheetData>
    <row r="2" spans="2:5" x14ac:dyDescent="0.25">
      <c r="B2" s="2" t="s">
        <v>3220</v>
      </c>
      <c r="C2" s="3" t="s">
        <v>3221</v>
      </c>
      <c r="D2" s="3" t="s">
        <v>3222</v>
      </c>
      <c r="E2" s="3" t="s">
        <v>13</v>
      </c>
    </row>
    <row r="3" spans="2:5" x14ac:dyDescent="0.25">
      <c r="B3" s="2">
        <v>1</v>
      </c>
      <c r="C3" s="3">
        <v>2010101000</v>
      </c>
      <c r="D3" s="3" t="s">
        <v>3223</v>
      </c>
      <c r="E3" s="3" t="str">
        <f>INDEX([1]designtokens26!N:N,MATCH(C3,[1]designtokens26!A:A,0))</f>
        <v>Basic-Primary</v>
      </c>
    </row>
    <row r="4" spans="2:5" x14ac:dyDescent="0.25">
      <c r="B4" s="2">
        <v>2</v>
      </c>
      <c r="C4" s="3">
        <v>2010102000</v>
      </c>
      <c r="D4" s="3" t="s">
        <v>3224</v>
      </c>
      <c r="E4" s="3" t="str">
        <f>INDEX([1]designtokens26!N:N,MATCH(C4,[1]designtokens26!A:A,0))</f>
        <v>Outline-Primary</v>
      </c>
    </row>
    <row r="5" spans="2:5" x14ac:dyDescent="0.25">
      <c r="B5" s="2">
        <v>3</v>
      </c>
      <c r="C5" s="3">
        <v>2010103000</v>
      </c>
      <c r="D5" s="3" t="s">
        <v>3225</v>
      </c>
      <c r="E5" s="3" t="str">
        <f>INDEX([1]designtokens26!N:N,MATCH(C5,[1]designtokens26!A:A,0))</f>
        <v>Soft-Primary</v>
      </c>
    </row>
    <row r="6" spans="2:5" x14ac:dyDescent="0.25">
      <c r="B6" s="2">
        <v>4</v>
      </c>
      <c r="C6" s="3">
        <v>2010104000</v>
      </c>
      <c r="D6" s="3" t="s">
        <v>3226</v>
      </c>
      <c r="E6" s="3" t="str">
        <f>INDEX([1]designtokens26!N:N,MATCH(C6,[1]designtokens26!A:A,0))</f>
        <v>Icon-Primary</v>
      </c>
    </row>
    <row r="7" spans="2:5" x14ac:dyDescent="0.25">
      <c r="B7" s="2">
        <v>5</v>
      </c>
      <c r="C7" s="3">
        <v>2010105000</v>
      </c>
      <c r="D7" s="3" t="s">
        <v>3227</v>
      </c>
      <c r="E7" s="3" t="str">
        <f>INDEX([1]designtokens26!N:N,MATCH(C7,[1]designtokens26!A:A,0))</f>
        <v>Social-Facebook</v>
      </c>
    </row>
    <row r="8" spans="2:5" x14ac:dyDescent="0.25">
      <c r="B8" s="2">
        <v>6</v>
      </c>
      <c r="C8" s="3">
        <v>2010107000</v>
      </c>
      <c r="D8" s="3" t="s">
        <v>3228</v>
      </c>
      <c r="E8" s="3" t="str">
        <f>INDEX([1]designtokens26!N:N,MATCH(C8,[1]designtokens26!A:A,0))</f>
        <v>Radius-Primary</v>
      </c>
    </row>
    <row r="9" spans="2:5" x14ac:dyDescent="0.25">
      <c r="B9" s="2">
        <v>7</v>
      </c>
      <c r="C9" s="3">
        <v>2010108000</v>
      </c>
      <c r="D9" s="3" t="s">
        <v>3229</v>
      </c>
      <c r="E9" s="3" t="str">
        <f>INDEX([1]designtokens26!N:N,MATCH(C9,[1]designtokens26!A:A,0))</f>
        <v>Active-Primary</v>
      </c>
    </row>
    <row r="10" spans="2:5" x14ac:dyDescent="0.25">
      <c r="B10" s="2">
        <v>8</v>
      </c>
      <c r="C10" s="3">
        <v>2010109000</v>
      </c>
      <c r="D10" s="3" t="s">
        <v>3230</v>
      </c>
      <c r="E10" s="3" t="str">
        <f>INDEX([1]designtokens26!N:N,MATCH(C10,[1]designtokens26!A:A,0))</f>
        <v>Disabled-Primary</v>
      </c>
    </row>
    <row r="11" spans="2:5" x14ac:dyDescent="0.25">
      <c r="B11" s="2">
        <v>9</v>
      </c>
      <c r="C11" s="3">
        <v>2010110000</v>
      </c>
      <c r="D11" s="3" t="s">
        <v>3231</v>
      </c>
      <c r="E11" s="3" t="str">
        <f>INDEX([1]designtokens26!N:N,MATCH(C11,[1]designtokens26!A:A,0))</f>
        <v>Loading-Primary</v>
      </c>
    </row>
    <row r="12" spans="2:5" x14ac:dyDescent="0.25">
      <c r="B12" s="2">
        <v>10</v>
      </c>
      <c r="C12" s="3">
        <v>2010111000</v>
      </c>
      <c r="D12" s="3" t="s">
        <v>3232</v>
      </c>
      <c r="E12" s="3" t="e">
        <f>INDEX([1]designtokens26!N:N,MATCH(C12,[1]designtokens26!A:A,0))</f>
        <v>#N/A</v>
      </c>
    </row>
    <row r="13" spans="2:5" x14ac:dyDescent="0.25">
      <c r="B13" s="2">
        <v>1</v>
      </c>
      <c r="C13" s="3">
        <v>2100112000</v>
      </c>
      <c r="D13" s="3" t="s">
        <v>3233</v>
      </c>
      <c r="E13" s="3" t="str">
        <f>INDEX([1]designtokens26!N:N,MATCH(C13,[1]designtokens26!A:A,0))</f>
        <v>Button-Size-Small</v>
      </c>
    </row>
    <row r="14" spans="2:5" x14ac:dyDescent="0.25">
      <c r="B14" s="2">
        <v>12</v>
      </c>
      <c r="C14" s="3">
        <v>2100113000</v>
      </c>
      <c r="D14" s="3" t="s">
        <v>3222</v>
      </c>
      <c r="E14" s="3" t="e">
        <f>INDEX([1]designtokens26!N:N,MATCH(C14,[1]designtokens26!A:A,0))</f>
        <v>#N/A</v>
      </c>
    </row>
    <row r="15" spans="2:5" x14ac:dyDescent="0.25">
      <c r="B15" s="2">
        <v>13</v>
      </c>
      <c r="C15" s="3">
        <v>2010114000</v>
      </c>
      <c r="D15" s="3" t="s">
        <v>3234</v>
      </c>
      <c r="E15" s="3" t="str">
        <f>INDEX([1]designtokens26!N:N,MATCH(C15,[1]designtokens26!A:A,0))</f>
        <v>Action-Button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designtokens27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Battle</cp:lastModifiedBy>
  <dcterms:created xsi:type="dcterms:W3CDTF">2026-07-05T17:56:22Z</dcterms:created>
  <dcterms:modified xsi:type="dcterms:W3CDTF">2026-07-05T17:56:22Z</dcterms:modified>
</cp:coreProperties>
</file>