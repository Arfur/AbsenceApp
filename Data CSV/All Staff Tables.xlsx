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Absence1\Data CSV\"/>
    </mc:Choice>
  </mc:AlternateContent>
  <xr:revisionPtr revIDLastSave="0" documentId="13_ncr:1_{5ADF20DA-34C7-42F8-86E5-CD777EBCB2D2}" xr6:coauthVersionLast="47" xr6:coauthVersionMax="47" xr10:uidLastSave="{00000000-0000-0000-0000-000000000000}"/>
  <bookViews>
    <workbookView xWindow="-105" yWindow="0" windowWidth="19410" windowHeight="15585" tabRatio="887" firstSheet="1" activeTab="2" xr2:uid="{175124C5-2B83-400C-9D94-18601637FF35}"/>
  </bookViews>
  <sheets>
    <sheet name="Sheet1" sheetId="1" r:id="rId1"/>
    <sheet name="Sheet6" sheetId="30" r:id="rId2"/>
    <sheet name="StaffTables" sheetId="2" r:id="rId3"/>
    <sheet name="Staff-Links" sheetId="3" r:id="rId4"/>
    <sheet name="tblStaff" sheetId="4" r:id="rId5"/>
    <sheet name="tblStaffDepartments" sheetId="6" r:id="rId6"/>
    <sheet name="tblStaffJobTitles" sheetId="7" r:id="rId7"/>
    <sheet name="tblStaffJobGroups" sheetId="8" r:id="rId8"/>
    <sheet name="tblStaffSchools" sheetId="9" r:id="rId9"/>
    <sheet name="tblStaffAbsences" sheetId="12" r:id="rId10"/>
    <sheet name="tblStaffAbsenceAudit" sheetId="15" r:id="rId11"/>
    <sheet name="tblAbsenceTypes" sheetId="21" r:id="rId12"/>
    <sheet name="tblStaffAssignments" sheetId="11" r:id="rId13"/>
    <sheet name="tblStaffDevices" sheetId="13" r:id="rId14"/>
    <sheet name="tblStaffDeviceAudit" sheetId="16" r:id="rId15"/>
    <sheet name="tblClassMember" sheetId="18" r:id="rId16"/>
    <sheet name="tblStaffLocations" sheetId="19" r:id="rId17"/>
    <sheet name="a_StaffPhases" sheetId="22" r:id="rId18"/>
    <sheet name="tblExternalSystems" sheetId="23" r:id="rId19"/>
    <sheet name="tblResponsibilities" sheetId="24" r:id="rId20"/>
    <sheet name="tblStaffResponsibilities" sheetId="26" r:id="rId21"/>
    <sheet name="tblClassYearGroupAssignments " sheetId="25" r:id="rId22"/>
    <sheet name="tblYearGroups" sheetId="27" r:id="rId23"/>
    <sheet name="Sheet4 (6)" sheetId="28" r:id="rId24"/>
    <sheet name="Sheet4 (7)" sheetId="29" r:id="rId25"/>
  </sheets>
  <definedNames>
    <definedName name="ExternalData_1" localSheetId="17" hidden="1">a_StaffPhases!$B$2:$F$4</definedName>
    <definedName name="ExternalData_1" localSheetId="11" hidden="1">tblAbsenceTypes!$B$2:$F$7</definedName>
    <definedName name="ExternalData_1" localSheetId="15" hidden="1">tblClassMember!$B$2:$F$5</definedName>
    <definedName name="ExternalData_1" localSheetId="21" hidden="1">'tblClassYearGroupAssignments '!$B$2:$F$5</definedName>
    <definedName name="ExternalData_1" localSheetId="18" hidden="1">tblExternalSystems!$B$2:$F$6</definedName>
    <definedName name="ExternalData_1" localSheetId="19" hidden="1">tblResponsibilities!$B$2:$F$6</definedName>
    <definedName name="ExternalData_1" localSheetId="4" hidden="1">tblStaff!$B$2:$F$28</definedName>
    <definedName name="ExternalData_1" localSheetId="10" hidden="1">tblStaffAbsenceAudit!$B$2:$F$9</definedName>
    <definedName name="ExternalData_1" localSheetId="9" hidden="1">tblStaffAbsences!$B$2:$F$12</definedName>
    <definedName name="ExternalData_1" localSheetId="12" hidden="1">tblStaffAssignments!$B$2:$F$10</definedName>
    <definedName name="ExternalData_1" localSheetId="5" hidden="1">tblStaffDepartments!$B$2:$F$10</definedName>
    <definedName name="ExternalData_1" localSheetId="14" hidden="1">tblStaffDeviceAudit!$B$2:$F$8</definedName>
    <definedName name="ExternalData_1" localSheetId="13" hidden="1">tblStaffDevices!$B$2:$F$11</definedName>
    <definedName name="ExternalData_1" localSheetId="7" hidden="1">tblStaffJobGroups!$B$2:$F$7</definedName>
    <definedName name="ExternalData_1" localSheetId="6" hidden="1">tblStaffJobTitles!$B$2:$F$7</definedName>
    <definedName name="ExternalData_1" localSheetId="16" hidden="1">tblStaffLocations!$B$2:$F$8</definedName>
    <definedName name="ExternalData_1" localSheetId="20" hidden="1">tblStaffResponsibilities!$B$2:$F$4</definedName>
    <definedName name="ExternalData_1" localSheetId="8" hidden="1">tblStaffSchools!$B$2:$F$10</definedName>
    <definedName name="ExternalData_1" localSheetId="22" hidden="1">tblYearGroups!$B$2:$F$7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F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C203F8-179C-4023-86B6-4A132876ED03}" keepAlive="1" name="Query - a_AbsenceTypes" description="Connection to the 'a_AbsenceTypes' query in the workbook." type="5" refreshedVersion="8" background="1" saveData="1">
    <dbPr connection="Provider=Microsoft.Mashup.OleDb.1;Data Source=$Workbook$;Location=a_AbsenceTypes;Extended Properties=&quot;&quot;" command="SELECT * FROM [a_AbsenceTypes]"/>
  </connection>
  <connection id="2" xr16:uid="{5483321C-F137-4666-9711-E3614F7A36B7}" keepAlive="1" name="Query - a_ClassMember" description="Connection to the 'a_ClassMember' query in the workbook." type="5" refreshedVersion="8" background="1" saveData="1">
    <dbPr connection="Provider=Microsoft.Mashup.OleDb.1;Data Source=$Workbook$;Location=a_ClassMember;Extended Properties=&quot;&quot;" command="SELECT * FROM [a_ClassMember]"/>
  </connection>
  <connection id="3" xr16:uid="{49939951-2F73-4772-B27F-517465C8C5AB}" keepAlive="1" name="Query - a_ClassYearGroupAssignments" description="Connection to the 'a_ClassYearGroupAssignments' query in the workbook." type="5" refreshedVersion="8" background="1" saveData="1">
    <dbPr connection="Provider=Microsoft.Mashup.OleDb.1;Data Source=$Workbook$;Location=a_ClassYearGroupAssignments;Extended Properties=&quot;&quot;" command="SELECT * FROM [a_ClassYearGroupAssignments]"/>
  </connection>
  <connection id="4" xr16:uid="{2E36AFB7-4F00-4FC6-95B8-0BE1931F729C}" keepAlive="1" name="Query - a_ExternalSystems" description="Connection to the 'a_ExternalSystems' query in the workbook." type="5" refreshedVersion="8" background="1" saveData="1">
    <dbPr connection="Provider=Microsoft.Mashup.OleDb.1;Data Source=$Workbook$;Location=a_ExternalSystems;Extended Properties=&quot;&quot;" command="SELECT * FROM [a_ExternalSystems]"/>
  </connection>
  <connection id="5" xr16:uid="{6CE641D7-45D2-456E-B5A3-D81349F7DA0B}" keepAlive="1" name="Query - a_Responsibilities" description="Connection to the 'a_Responsibilities' query in the workbook." type="5" refreshedVersion="8" background="1" saveData="1">
    <dbPr connection="Provider=Microsoft.Mashup.OleDb.1;Data Source=$Workbook$;Location=a_Responsibilities;Extended Properties=&quot;&quot;" command="SELECT * FROM [a_Responsibilities]"/>
  </connection>
  <connection id="6" xr16:uid="{0E637482-C2B8-4AB9-9DEC-DFF3D83FC472}" keepAlive="1" name="Query - a_Staff" description="Connection to the 'a_Staff' query in the workbook." type="5" refreshedVersion="8" background="1" saveData="1">
    <dbPr connection="Provider=Microsoft.Mashup.OleDb.1;Data Source=$Workbook$;Location=a_Staff;Extended Properties=&quot;&quot;" command="SELECT * FROM [a_Staff]"/>
  </connection>
  <connection id="7" xr16:uid="{CD86C76B-89E0-4292-BB14-D0338751822D}" keepAlive="1" name="Query - a_StaffAbsenceAudit" description="Connection to the 'a_StaffAbsenceAudit' query in the workbook." type="5" refreshedVersion="8" background="1" saveData="1">
    <dbPr connection="Provider=Microsoft.Mashup.OleDb.1;Data Source=$Workbook$;Location=a_StaffAbsenceAudit;Extended Properties=&quot;&quot;" command="SELECT * FROM [a_StaffAbsenceAudit]"/>
  </connection>
  <connection id="8" xr16:uid="{639A1289-B64B-4D5B-8D1D-FCD3BD247E97}" keepAlive="1" name="Query - a_StaffAbsences" description="Connection to the 'a_StaffAbsences' query in the workbook." type="5" refreshedVersion="8" background="1" saveData="1">
    <dbPr connection="Provider=Microsoft.Mashup.OleDb.1;Data Source=$Workbook$;Location=a_StaffAbsences;Extended Properties=&quot;&quot;" command="SELECT * FROM [a_StaffAbsences]"/>
  </connection>
  <connection id="9" xr16:uid="{59B1FCD2-CE15-4E8C-AEA9-47A87E4D2EA9}" keepAlive="1" name="Query - a_StaffAssignments" description="Connection to the 'a_StaffAssignments' query in the workbook." type="5" refreshedVersion="8" background="1" saveData="1">
    <dbPr connection="Provider=Microsoft.Mashup.OleDb.1;Data Source=$Workbook$;Location=a_StaffAssignments;Extended Properties=&quot;&quot;" command="SELECT * FROM [a_StaffAssignments]"/>
  </connection>
  <connection id="10" xr16:uid="{C7F4F258-1934-475B-9138-9AC6A7405469}" keepAlive="1" name="Query - a_StaffDepartments" description="Connection to the 'a_StaffDepartments' query in the workbook." type="5" refreshedVersion="8" background="1" saveData="1">
    <dbPr connection="Provider=Microsoft.Mashup.OleDb.1;Data Source=$Workbook$;Location=a_StaffDepartments;Extended Properties=&quot;&quot;" command="SELECT * FROM [a_StaffDepartments]"/>
  </connection>
  <connection id="11" xr16:uid="{05654A30-1BFB-43B6-A662-F96EF5C04FAE}" keepAlive="1" name="Query - a_StaffDeviceAudit" description="Connection to the 'a_StaffDeviceAudit' query in the workbook." type="5" refreshedVersion="8" background="1" saveData="1">
    <dbPr connection="Provider=Microsoft.Mashup.OleDb.1;Data Source=$Workbook$;Location=a_StaffDeviceAudit;Extended Properties=&quot;&quot;" command="SELECT * FROM [a_StaffDeviceAudit]"/>
  </connection>
  <connection id="12" xr16:uid="{6BC97797-BDFB-4B95-A406-6019B138E4CE}" keepAlive="1" name="Query - a_StaffDevices" description="Connection to the 'a_StaffDevices' query in the workbook." type="5" refreshedVersion="8" background="1" saveData="1">
    <dbPr connection="Provider=Microsoft.Mashup.OleDb.1;Data Source=$Workbook$;Location=a_StaffDevices;Extended Properties=&quot;&quot;" command="SELECT * FROM [a_StaffDevices]"/>
  </connection>
  <connection id="13" xr16:uid="{40D7DB3E-2CAF-430C-8B20-E1A2E25C693C}" keepAlive="1" name="Query - a_StaffExternalAccountAudit" description="Connection to the 'a_StaffExternalAccountAudit' query in the workbook." type="5" refreshedVersion="8" background="1" saveData="1">
    <dbPr connection="Provider=Microsoft.Mashup.OleDb.1;Data Source=$Workbook$;Location=a_StaffExternalAccountAudit;Extended Properties=&quot;&quot;" command="SELECT * FROM [a_StaffExternalAccountAudit]"/>
  </connection>
  <connection id="14" xr16:uid="{D3D4FB98-197D-4469-9EC7-B39F89B6D234}" keepAlive="1" name="Query - a_StaffExternalAccounts" description="Connection to the 'a_StaffExternalAccounts' query in the workbook." type="5" refreshedVersion="8" background="1" saveData="1">
    <dbPr connection="Provider=Microsoft.Mashup.OleDb.1;Data Source=$Workbook$;Location=a_StaffExternalAccounts;Extended Properties=&quot;&quot;" command="SELECT * FROM [a_StaffExternalAccounts]"/>
  </connection>
  <connection id="15" xr16:uid="{172E33ED-6E1E-4C77-9BAB-0CA652B1EC3E}" keepAlive="1" name="Query - a_StaffJobGroups" description="Connection to the 'a_StaffJobGroups' query in the workbook." type="5" refreshedVersion="8" background="1" saveData="1">
    <dbPr connection="Provider=Microsoft.Mashup.OleDb.1;Data Source=$Workbook$;Location=a_StaffJobGroups;Extended Properties=&quot;&quot;" command="SELECT * FROM [a_StaffJobGroups]"/>
  </connection>
  <connection id="16" xr16:uid="{D5C1F2F1-86A3-4E7A-8F73-CDB9C3C58526}" keepAlive="1" name="Query - a_StaffJobTitles" description="Connection to the 'a_StaffJobTitles' query in the workbook." type="5" refreshedVersion="8" background="1" saveData="1">
    <dbPr connection="Provider=Microsoft.Mashup.OleDb.1;Data Source=$Workbook$;Location=a_StaffJobTitles;Extended Properties=&quot;&quot;" command="SELECT * FROM [a_StaffJobTitles]"/>
  </connection>
  <connection id="17" xr16:uid="{636770A7-8CF3-48A1-9EBE-3319A73B989D}" keepAlive="1" name="Query - a_StaffLocations" description="Connection to the 'a_StaffLocations' query in the workbook." type="5" refreshedVersion="8" background="1" saveData="1">
    <dbPr connection="Provider=Microsoft.Mashup.OleDb.1;Data Source=$Workbook$;Location=a_StaffLocations;Extended Properties=&quot;&quot;" command="SELECT * FROM [a_StaffLocations]"/>
  </connection>
  <connection id="18" xr16:uid="{B9EDD135-D902-4430-83C4-6E3007F2EC20}" keepAlive="1" name="Query - a_StaffPhases" description="Connection to the 'a_StaffPhases' query in the workbook." type="5" refreshedVersion="8" background="1" saveData="1">
    <dbPr connection="Provider=Microsoft.Mashup.OleDb.1;Data Source=$Workbook$;Location=a_StaffPhases;Extended Properties=&quot;&quot;" command="SELECT * FROM [a_StaffPhases]"/>
  </connection>
  <connection id="19" xr16:uid="{1A86B909-10B1-4618-B6B4-184823E64889}" keepAlive="1" name="Query - a_StaffResponsibilities" description="Connection to the 'a_StaffResponsibilities' query in the workbook." type="5" refreshedVersion="8" background="1" saveData="1">
    <dbPr connection="Provider=Microsoft.Mashup.OleDb.1;Data Source=$Workbook$;Location=a_StaffResponsibilities;Extended Properties=&quot;&quot;" command="SELECT * FROM [a_StaffResponsibilities]"/>
  </connection>
  <connection id="20" xr16:uid="{A44EA746-61B6-401A-ADFF-E2E873E43821}" keepAlive="1" name="Query - a_StaffSchools" description="Connection to the 'a_StaffSchools' query in the workbook." type="5" refreshedVersion="8" background="1" saveData="1">
    <dbPr connection="Provider=Microsoft.Mashup.OleDb.1;Data Source=$Workbook$;Location=a_StaffSchools;Extended Properties=&quot;&quot;" command="SELECT * FROM [a_StaffSchools]"/>
  </connection>
  <connection id="21" xr16:uid="{558DCBD7-9B2D-41FA-A87A-422C418C9502}" keepAlive="1" name="Query - a_YearGroups" description="Connection to the 'a_YearGroups' query in the workbook." type="5" refreshedVersion="8" background="1" saveData="1">
    <dbPr connection="Provider=Microsoft.Mashup.OleDb.1;Data Source=$Workbook$;Location=a_YearGroups;Extended Properties=&quot;&quot;" command="SELECT * FROM [a_YearGroups]"/>
  </connection>
</connections>
</file>

<file path=xl/sharedStrings.xml><?xml version="1.0" encoding="utf-8"?>
<sst xmlns="http://schemas.openxmlformats.org/spreadsheetml/2006/main" count="1425" uniqueCount="518">
  <si>
    <t xml:space="preserve">OLD_TABLE_NAME   </t>
  </si>
  <si>
    <t>DESCRIPTION</t>
  </si>
  <si>
    <t xml:space="preserve">LINKED_TO   </t>
  </si>
  <si>
    <t>LINKING_FIELDS</t>
  </si>
  <si>
    <t>MenuItems</t>
  </si>
  <si>
    <t>Feature</t>
  </si>
  <si>
    <t>RoleFeature</t>
  </si>
  <si>
    <t>UserFeatureOverride</t>
  </si>
  <si>
    <t>Defines sidebar menu and submenu items used by the UI.</t>
  </si>
  <si>
    <t>NULL</t>
  </si>
  <si>
    <t>MenuItemsGlobalConfig</t>
  </si>
  <si>
    <t>Global configuration for menu behaviour (not linked).</t>
  </si>
  <si>
    <t xml:space="preserve">Defines system/UI feature flags controlling behaviour.  </t>
  </si>
  <si>
    <t>FeatureId</t>
  </si>
  <si>
    <t xml:space="preserve">Maps Roles to FeatureFlags for permission control. </t>
  </si>
  <si>
    <t>Roles, Feature</t>
  </si>
  <si>
    <t>RoleId, FeatureId</t>
  </si>
  <si>
    <t>Allows users to override default feature behaviour.</t>
  </si>
  <si>
    <t>Users</t>
  </si>
  <si>
    <t>UserId</t>
  </si>
  <si>
    <t>NOTE: These tables represent audit and system logging functionality.</t>
  </si>
  <si>
    <t>- Audit tables track user-driven changes (compliance, traceability).</t>
  </si>
  <si>
    <t>- SystemEventsLog tracks system-level events (errors, warnings, operations).</t>
  </si>
  <si>
    <t>- LoginAudit and SystemEventsLog are standalone by design.</t>
  </si>
  <si>
    <t>- Only Audit tables link back to their parent domain tables.</t>
  </si>
  <si>
    <t>AuditLog</t>
  </si>
  <si>
    <t>Records system audit entries for user/system actions.</t>
  </si>
  <si>
    <t>Users (optional)</t>
  </si>
  <si>
    <t>UserId (if present)</t>
  </si>
  <si>
    <t>LoginAudit</t>
  </si>
  <si>
    <t>Tracks login attempts, successes, failures, lockouts.</t>
  </si>
  <si>
    <t>StaffAbsenceAudit</t>
  </si>
  <si>
    <t>Audit trail for staff absence changes.</t>
  </si>
  <si>
    <t>StaffAbsences</t>
  </si>
  <si>
    <t>StaffAbsenceId</t>
  </si>
  <si>
    <t>StaffAssignmentAudit</t>
  </si>
  <si>
    <t>StaffAssignments</t>
  </si>
  <si>
    <t>StaffDeviceAudit</t>
  </si>
  <si>
    <t>Audit trail for staff device changes.</t>
  </si>
  <si>
    <t>StaffDevices</t>
  </si>
  <si>
    <t>StaffDeviceId</t>
  </si>
  <si>
    <t>StaffExternalAccountAudit</t>
  </si>
  <si>
    <t>Audit trail for external account changes for staff.</t>
  </si>
  <si>
    <t>StaffExternalAccounts</t>
  </si>
  <si>
    <t>ExternalAccountId</t>
  </si>
  <si>
    <t>SystemEvents</t>
  </si>
  <si>
    <t>Stores system-level events, warnings, and operational logs.</t>
  </si>
  <si>
    <t>Staff</t>
  </si>
  <si>
    <t>Core HR identity record for each staff member.</t>
  </si>
  <si>
    <t/>
  </si>
  <si>
    <t>Departments</t>
  </si>
  <si>
    <t>Lookup table for staff departments.</t>
  </si>
  <si>
    <t>DepartmentId</t>
  </si>
  <si>
    <t>JobTitles</t>
  </si>
  <si>
    <t>Lookup table for staff job titles.</t>
  </si>
  <si>
    <t>JobTitleId</t>
  </si>
  <si>
    <t>JobGroups</t>
  </si>
  <si>
    <t>Lookup table for staff job groups.</t>
  </si>
  <si>
    <t>JobGroupId</t>
  </si>
  <si>
    <t>Schools</t>
  </si>
  <si>
    <t>Lookup table for school sites or campuses.</t>
  </si>
  <si>
    <t>SchoolId</t>
  </si>
  <si>
    <t>Records staff absences (sickness, leave, etc.).</t>
  </si>
  <si>
    <t>StaffId</t>
  </si>
  <si>
    <t>Records devices assigned to staff (laptops, tablets, etc.).</t>
  </si>
  <si>
    <t>External linked accounts (Google, Microsoft, etc.).</t>
  </si>
  <si>
    <t>Login accounts for authorised system users.</t>
  </si>
  <si>
    <t>Staff (optional), Roles</t>
  </si>
  <si>
    <t>StaffId (if present)</t>
  </si>
  <si>
    <t>UserProfiles</t>
  </si>
  <si>
    <t>Extended profile details linked to Users.</t>
  </si>
  <si>
    <t>Roles</t>
  </si>
  <si>
    <t>Defines system roles (SuperAdmin, Admin, Teacher, etc.).</t>
  </si>
  <si>
    <t>RoleTypes, UserRole</t>
  </si>
  <si>
    <t>RoleTypeId</t>
  </si>
  <si>
    <t>RoleTypes</t>
  </si>
  <si>
    <t>Lookup for role categories (Admin, StaffAdmin, Teacher).</t>
  </si>
  <si>
    <t>UserRole</t>
  </si>
  <si>
    <t>Mapping table linking Users to Roles.</t>
  </si>
  <si>
    <t>Users, Roles</t>
  </si>
  <si>
    <t>UserId, RoleId</t>
  </si>
  <si>
    <t>Students</t>
  </si>
  <si>
    <t>Core identity record for each student.</t>
  </si>
  <si>
    <t>StudentContacts</t>
  </si>
  <si>
    <t>Stores parent/guardian/emergency contact details.</t>
  </si>
  <si>
    <t>StudentId</t>
  </si>
  <si>
    <t>StudentFlags</t>
  </si>
  <si>
    <t>StudentMedical</t>
  </si>
  <si>
    <t>Medical information linked to a student.</t>
  </si>
  <si>
    <t>StudentAbsences</t>
  </si>
  <si>
    <t>Records student absences.</t>
  </si>
  <si>
    <t>NOTE: Group 2B (Users &amp; Permissions Domain)</t>
  </si>
  <si>
    <t>This domain contains all authentication and authorisation tables.</t>
  </si>
  <si>
    <t>- Users represents login accounts (not staff identity).</t>
  </si>
  <si>
    <t>- RoleTypes categorises roles (e.g., Admin, Teacher).</t>
  </si>
  <si>
    <t>- UserRole maps users to one or more roles.</t>
  </si>
  <si>
    <t>This domain is intentionally separate from the Staff domain.</t>
  </si>
  <si>
    <t>A staff member may or may not have a user account.</t>
  </si>
  <si>
    <t>A user account may or may not belong to a staff member.</t>
  </si>
  <si>
    <t>NOTE: Group 3 (Students Domain)</t>
  </si>
  <si>
    <t>This domain contains all tables directly related to student identity,</t>
  </si>
  <si>
    <t>contacts, flags, medical information, and absences.</t>
  </si>
  <si>
    <t>StudentAbsenceAudit is excluded here because it was already documented</t>
  </si>
  <si>
    <t>in the audit tables section.</t>
  </si>
  <si>
    <t>- UserProfiles extends Users with additional profile information.</t>
  </si>
  <si>
    <t>- Roles defines system-level permissions.</t>
  </si>
  <si>
    <t>NOTE: GlobalConfig Table (Purpose and Future Review)</t>
  </si>
  <si>
    <t>The GlobalConfig table currently stores two system-level switches:</t>
  </si>
  <si>
    <t>These switches act as master overrides for major system behaviour.</t>
  </si>
  <si>
    <t>They are not linked to any other tables and are only read by the application.</t>
  </si>
  <si>
    <t>EnableGlobalSettings:</t>
  </si>
  <si>
    <t>- Even though only Super-Admin users can access Global Settings, this flag can hide or disable the entire module at system level.</t>
  </si>
  <si>
    <t>EnableRoleBasedNavigation:</t>
  </si>
  <si>
    <t>- Controls whether role-based menu filtering and feature permissions are enforced.</t>
  </si>
  <si>
    <t>- If set to false, all users see all menus and features (permissions bypassed).</t>
  </si>
  <si>
    <t>- This is effectively a development/debugging switch and should never be disabled in production.</t>
  </si>
  <si>
    <t>Current Assessment:</t>
  </si>
  <si>
    <t>- The table adds an extra layer of complexity that may not be necessary.</t>
  </si>
  <si>
    <t>- Both settings duplicate logic already enforced by roles and permissions.</t>
  </si>
  <si>
    <t>Action:</t>
  </si>
  <si>
    <t>- Consider removing or repurposing the table once the full system architecture is stabilised.</t>
  </si>
  <si>
    <t>- EnableGlobalSettings</t>
  </si>
  <si>
    <t>- EnableRoleBasedNavigation</t>
  </si>
  <si>
    <t>- Controls whether the Global Settings module is active.</t>
  </si>
  <si>
    <t>- the table may be a legacy development feature rather than a required production component.</t>
  </si>
  <si>
    <t>- Leave the table in place for now.</t>
  </si>
  <si>
    <t>- Reassess during the refactor/cleanup phase.</t>
  </si>
  <si>
    <t>FullTableName</t>
  </si>
  <si>
    <t>Group 1A</t>
  </si>
  <si>
    <t>Group 1B</t>
  </si>
  <si>
    <t>StaffDepartments, StaffJobTitles, StaffJobGroups, StaffSchools</t>
  </si>
  <si>
    <t>DepartmentId, JobTitleId, JobGroupId, SchoolId</t>
  </si>
  <si>
    <t>Structured flags/markers for behaviour, medical, pastoral, SEN, attendance concerns, etc.</t>
  </si>
  <si>
    <t>AbsenceTypes</t>
  </si>
  <si>
    <t>AccountVerificationEvents</t>
  </si>
  <si>
    <t>AppNotifications</t>
  </si>
  <si>
    <t>Attendance</t>
  </si>
  <si>
    <t>AttendanceMarks</t>
  </si>
  <si>
    <t>AttendanceRegisters</t>
  </si>
  <si>
    <t>Classes</t>
  </si>
  <si>
    <t>ClassMember</t>
  </si>
  <si>
    <t>ClassYearGroupAssignments</t>
  </si>
  <si>
    <t>DeviceTypes</t>
  </si>
  <si>
    <t>ExternalSystems</t>
  </si>
  <si>
    <t>GlobalConfig</t>
  </si>
  <si>
    <t>Houses</t>
  </si>
  <si>
    <t>Messages</t>
  </si>
  <si>
    <t>Phases</t>
  </si>
  <si>
    <t>Responsibilities</t>
  </si>
  <si>
    <t>RoleChangeAudit</t>
  </si>
  <si>
    <t>StudentAbsenceAudit</t>
  </si>
  <si>
    <t>YearGroups</t>
  </si>
  <si>
    <t xml:space="preserve">Lookup table defining categories of absence. </t>
  </si>
  <si>
    <t>Attendance, StudentAbsences</t>
  </si>
  <si>
    <t xml:space="preserve">AbsenceTypeId (if used) </t>
  </si>
  <si>
    <t xml:space="preserve">Individual attendance records for students. </t>
  </si>
  <si>
    <t xml:space="preserve">Lookup table for attendance codes (/, \\, L, I, M, etc.).  </t>
  </si>
  <si>
    <t>MarkId</t>
  </si>
  <si>
    <t xml:space="preserve">Defines register sessions (AM/PM or period-based). </t>
  </si>
  <si>
    <t>RegisterId</t>
  </si>
  <si>
    <t>Students, AttendanceMarks, AttendanceRegisters</t>
  </si>
  <si>
    <t>StudentId, MarkId, RegisterId</t>
  </si>
  <si>
    <t xml:space="preserve">Defines classes or teaching groups.     </t>
  </si>
  <si>
    <t>ClassMember, ClassYearGroupAssignments</t>
  </si>
  <si>
    <t>ClassId</t>
  </si>
  <si>
    <t xml:space="preserve">Links students to classes.     </t>
  </si>
  <si>
    <t>Classes, Students</t>
  </si>
  <si>
    <t xml:space="preserve">ClassId, StudentId   </t>
  </si>
  <si>
    <t xml:space="preserve">Links classes to year groups. </t>
  </si>
  <si>
    <t xml:space="preserve">Classes, YearGroups   </t>
  </si>
  <si>
    <t xml:space="preserve">ClassId, YearGroupId </t>
  </si>
  <si>
    <t xml:space="preserve">Lookup table for year groups (Y1, Y2, Y3, etc.).   </t>
  </si>
  <si>
    <t xml:space="preserve">ClassYearGroupAssignments  </t>
  </si>
  <si>
    <t xml:space="preserve">YearGroupId  </t>
  </si>
  <si>
    <t xml:space="preserve">Lookup for school phases (EYFS, KS1, KS2, etc.). </t>
  </si>
  <si>
    <t xml:space="preserve">Lookup for school houses (Red, Blue, etc.).   </t>
  </si>
  <si>
    <t xml:space="preserve"> Students (if used)</t>
  </si>
  <si>
    <t>HouseId (if present)</t>
  </si>
  <si>
    <t xml:space="preserve">Lookup for staff responsibilities (e.g., Head of Year). </t>
  </si>
  <si>
    <t>StaffAssignments (if used)</t>
  </si>
  <si>
    <t>ResponsibilityId</t>
  </si>
  <si>
    <t>Lookup table defining categories of devices (e.g., laptop, tablet, phone)</t>
  </si>
  <si>
    <t xml:space="preserve">Lookup table defining external systems the MIS integrates with (Google, Microsoft, etc.). </t>
  </si>
  <si>
    <t>ExternalSystemId</t>
  </si>
  <si>
    <t>Records events related to account verification (e.g., email verification, password reset flows).</t>
  </si>
  <si>
    <t>Audit log of changes to user roles (who changed what and when).</t>
  </si>
  <si>
    <t>UserId, RoleId (if used)</t>
  </si>
  <si>
    <t>Id</t>
  </si>
  <si>
    <t>StaffNumber</t>
  </si>
  <si>
    <t>FirstName</t>
  </si>
  <si>
    <t>LastName</t>
  </si>
  <si>
    <t>PreferredName</t>
  </si>
  <si>
    <t>Title</t>
  </si>
  <si>
    <t>DateOfBirth</t>
  </si>
  <si>
    <t>Gender</t>
  </si>
  <si>
    <t>WorkEmail</t>
  </si>
  <si>
    <t>AltEmail</t>
  </si>
  <si>
    <t>PhoneHome</t>
  </si>
  <si>
    <t>PhoneMobile</t>
  </si>
  <si>
    <t>PhoneEmergency</t>
  </si>
  <si>
    <t>EmploymentType</t>
  </si>
  <si>
    <t>ContractType</t>
  </si>
  <si>
    <t>HireDate</t>
  </si>
  <si>
    <t>EndDate</t>
  </si>
  <si>
    <t>WorkLocation</t>
  </si>
  <si>
    <t>ReportingManagerId</t>
  </si>
  <si>
    <t>ProfilePhotoUrl</t>
  </si>
  <si>
    <t>AccountStatus</t>
  </si>
  <si>
    <t>CreatedAt</t>
  </si>
  <si>
    <t>UpdatedAt</t>
  </si>
  <si>
    <t>Name</t>
  </si>
  <si>
    <t>Code</t>
  </si>
  <si>
    <t>Description</t>
  </si>
  <si>
    <t>HeadUserId</t>
  </si>
  <si>
    <t>Status</t>
  </si>
  <si>
    <t>AbsenceTypeId</t>
  </si>
  <si>
    <t>StartDate</t>
  </si>
  <si>
    <t>Notes</t>
  </si>
  <si>
    <t>TypicalMembers</t>
  </si>
  <si>
    <t>SchoolRef</t>
  </si>
  <si>
    <t>DeviceTypeId</t>
  </si>
  <si>
    <t>SerialNumber</t>
  </si>
  <si>
    <t>AssignedDate</t>
  </si>
  <si>
    <t>ReturnedDate</t>
  </si>
  <si>
    <t>x</t>
  </si>
  <si>
    <t>RoleInClass</t>
  </si>
  <si>
    <t>YearGroupId</t>
  </si>
  <si>
    <t>NumericOrder</t>
  </si>
  <si>
    <t>PhaseId</t>
  </si>
  <si>
    <t>Column1</t>
  </si>
  <si>
    <t>Field Name</t>
  </si>
  <si>
    <t>Data Type</t>
  </si>
  <si>
    <t>Example Value</t>
  </si>
  <si>
    <t>Links To</t>
  </si>
  <si>
    <t>INT AUTO_INCREMENT</t>
  </si>
  <si>
    <t>Primary key</t>
  </si>
  <si>
    <t>1023</t>
  </si>
  <si>
    <t>VARCHAR(20)</t>
  </si>
  <si>
    <t>School-issued staff number / payroll number</t>
  </si>
  <si>
    <t>ST-00451</t>
  </si>
  <si>
    <t>VARCHAR(50)</t>
  </si>
  <si>
    <t>Legal first name</t>
  </si>
  <si>
    <t>Michael</t>
  </si>
  <si>
    <t>Legal surname</t>
  </si>
  <si>
    <t>Smith</t>
  </si>
  <si>
    <t>Display name / preferred name</t>
  </si>
  <si>
    <t>Mike</t>
  </si>
  <si>
    <t>Title such as Mr/Mrs/Miss/Dr</t>
  </si>
  <si>
    <t>Mr</t>
  </si>
  <si>
    <t>DATE</t>
  </si>
  <si>
    <t>Staff date of birth</t>
  </si>
  <si>
    <t>1985-06-12</t>
  </si>
  <si>
    <t>Gender identity</t>
  </si>
  <si>
    <t>Male</t>
  </si>
  <si>
    <t>VARCHAR(100)</t>
  </si>
  <si>
    <t>School email address</t>
  </si>
  <si>
    <t>m.smith@school.org</t>
  </si>
  <si>
    <t>Optional personal email</t>
  </si>
  <si>
    <t>mike@gmail.com</t>
  </si>
  <si>
    <t>Home phone number</t>
  </si>
  <si>
    <t>01332 123456</t>
  </si>
  <si>
    <t>Mobile phone number</t>
  </si>
  <si>
    <t>07700 900123</t>
  </si>
  <si>
    <t>Emergency contact number</t>
  </si>
  <si>
    <t>07700 900999</t>
  </si>
  <si>
    <t>Full-time / Part-time / Supply / Contractor</t>
  </si>
  <si>
    <t>Full-time</t>
  </si>
  <si>
    <t>Permanent / Temporary / Fixed-term</t>
  </si>
  <si>
    <t>Permanent</t>
  </si>
  <si>
    <t>Employment start date</t>
  </si>
  <si>
    <t>2020-09-01</t>
  </si>
  <si>
    <t>DATE NULL</t>
  </si>
  <si>
    <t>Employment end date (nullable)</t>
  </si>
  <si>
    <t>Site / campus / building</t>
  </si>
  <si>
    <t>Main Campus</t>
  </si>
  <si>
    <t>INT NULL</t>
  </si>
  <si>
    <t>Self-referencing FK to Staff.Id</t>
  </si>
  <si>
    <t>1012</t>
  </si>
  <si>
    <t>Staff(Id)</t>
  </si>
  <si>
    <t>INT</t>
  </si>
  <si>
    <t>FK to StaffJobTitles.Id</t>
  </si>
  <si>
    <t>4</t>
  </si>
  <si>
    <t>StaffJobTitles(Id)</t>
  </si>
  <si>
    <t>FK to StaffJobGroups.Id</t>
  </si>
  <si>
    <t>2</t>
  </si>
  <si>
    <t>StaffJobGroups(Id)</t>
  </si>
  <si>
    <t>FK to StaffDepartments.Id</t>
  </si>
  <si>
    <t>7</t>
  </si>
  <si>
    <t>StaffDepartments(Id)</t>
  </si>
  <si>
    <t>VARCHAR(255)</t>
  </si>
  <si>
    <t>URL to staff profile image</t>
  </si>
  <si>
    <t>/images/staff/1023.jpg</t>
  </si>
  <si>
    <t>Active / Suspended / Archived</t>
  </si>
  <si>
    <t>Active</t>
  </si>
  <si>
    <t>DATETIME</t>
  </si>
  <si>
    <t>Record creation timestamp</t>
  </si>
  <si>
    <t>2024-01-10 09:15:00</t>
  </si>
  <si>
    <t>Last update timestamp</t>
  </si>
  <si>
    <t>2024-03-02 14:22:00</t>
  </si>
  <si>
    <t>Primary key for department</t>
  </si>
  <si>
    <t>Department name</t>
  </si>
  <si>
    <t>Science</t>
  </si>
  <si>
    <t>Short code for department</t>
  </si>
  <si>
    <t>SCI</t>
  </si>
  <si>
    <t>Optional description</t>
  </si>
  <si>
    <t>Science Faculty</t>
  </si>
  <si>
    <t>FK to Users.Id for department head</t>
  </si>
  <si>
    <t>102</t>
  </si>
  <si>
    <t>Users(Id)</t>
  </si>
  <si>
    <t>Active/Inactive</t>
  </si>
  <si>
    <t>Primary key for job title</t>
  </si>
  <si>
    <t>Job title name</t>
  </si>
  <si>
    <t>Teacher</t>
  </si>
  <si>
    <t>Classroom Teacher</t>
  </si>
  <si>
    <t>Primary key for job group</t>
  </si>
  <si>
    <t>Group name</t>
  </si>
  <si>
    <t>Teaching Staff</t>
  </si>
  <si>
    <t>All teaching roles</t>
  </si>
  <si>
    <t>Primary key for staff-school assignment</t>
  </si>
  <si>
    <t>12</t>
  </si>
  <si>
    <t>FK to Staff.Id</t>
  </si>
  <si>
    <t>FK to Schools.Id</t>
  </si>
  <si>
    <t>3</t>
  </si>
  <si>
    <t>Schools(Id)</t>
  </si>
  <si>
    <t>Date staff started at this school</t>
  </si>
  <si>
    <t>2021-09-01</t>
  </si>
  <si>
    <t>Date staff left this school</t>
  </si>
  <si>
    <t>Optional notes</t>
  </si>
  <si>
    <t>Transferred from another site</t>
  </si>
  <si>
    <t>Primary key for staff absence record</t>
  </si>
  <si>
    <t>501</t>
  </si>
  <si>
    <t>FK to AbsenceTypes.Id</t>
  </si>
  <si>
    <t>AbsenceTypes(Id)</t>
  </si>
  <si>
    <t>Start date of absence</t>
  </si>
  <si>
    <t>2024-01-12</t>
  </si>
  <si>
    <t>End date of absence</t>
  </si>
  <si>
    <t>2024-01-14</t>
  </si>
  <si>
    <t>Reason</t>
  </si>
  <si>
    <t>Reason for absence</t>
  </si>
  <si>
    <t>Medical appointment</t>
  </si>
  <si>
    <t>VARCHAR(500)</t>
  </si>
  <si>
    <t>Provided doctor's note</t>
  </si>
  <si>
    <t>IsAuthorised</t>
  </si>
  <si>
    <t>TINYINT(1)</t>
  </si>
  <si>
    <t>Whether absence is authorised</t>
  </si>
  <si>
    <t>1</t>
  </si>
  <si>
    <t>2024-01-10 10:22:00</t>
  </si>
  <si>
    <t>Primary key for assignment</t>
  </si>
  <si>
    <t>88</t>
  </si>
  <si>
    <t>FK to Responsibilities.Id</t>
  </si>
  <si>
    <t>Responsibilities(Id)</t>
  </si>
  <si>
    <t>Start date of assignment</t>
  </si>
  <si>
    <t>2023-09-01</t>
  </si>
  <si>
    <t>End date of assignment</t>
  </si>
  <si>
    <t>Head of Year 9</t>
  </si>
  <si>
    <t>Primary key for staff device record</t>
  </si>
  <si>
    <t>301</t>
  </si>
  <si>
    <t>FK to DeviceTypes.Id</t>
  </si>
  <si>
    <t>DeviceTypes(Id)</t>
  </si>
  <si>
    <t>Device serial number</t>
  </si>
  <si>
    <t>ABC1234567</t>
  </si>
  <si>
    <t>IssuedDate</t>
  </si>
  <si>
    <t>Date device was issued</t>
  </si>
  <si>
    <t>2023-01-15</t>
  </si>
  <si>
    <t>Date device was returned</t>
  </si>
  <si>
    <t>Replaced due to damage</t>
  </si>
  <si>
    <t>LocationId</t>
  </si>
  <si>
    <t>Primary key for audit entry</t>
  </si>
  <si>
    <t>9001</t>
  </si>
  <si>
    <t>FK to StaffAbsences.Id</t>
  </si>
  <si>
    <t>StaffAbsences(Id)</t>
  </si>
  <si>
    <t>ChangedByUserId</t>
  </si>
  <si>
    <t>FK to Users.Id</t>
  </si>
  <si>
    <t>ChangeType</t>
  </si>
  <si>
    <t>Created/Updated/Deleted</t>
  </si>
  <si>
    <t>Updated</t>
  </si>
  <si>
    <t>OldValue</t>
  </si>
  <si>
    <t>LONGTEXT</t>
  </si>
  <si>
    <t>Previous JSON snapshot</t>
  </si>
  <si>
    <t>{...}</t>
  </si>
  <si>
    <t>NewValue</t>
  </si>
  <si>
    <t>New JSON snapshot</t>
  </si>
  <si>
    <t>TimestampUtc</t>
  </si>
  <si>
    <t>When the change occurred</t>
  </si>
  <si>
    <t>9101</t>
  </si>
  <si>
    <t>FK to StaffDevices.Id</t>
  </si>
  <si>
    <t>StaffDevices(Id)</t>
  </si>
  <si>
    <t xml:space="preserve"> Data Type</t>
  </si>
  <si>
    <t xml:space="preserve"> Description</t>
  </si>
  <si>
    <t xml:space="preserve"> Example Value</t>
  </si>
  <si>
    <t xml:space="preserve"> Links To</t>
  </si>
  <si>
    <t xml:space="preserve"> INT</t>
  </si>
  <si>
    <t xml:space="preserve"> The class the staff member belongs to</t>
  </si>
  <si>
    <t xml:space="preserve"> 12</t>
  </si>
  <si>
    <t xml:space="preserve"> Classes(Id)</t>
  </si>
  <si>
    <t xml:space="preserve"> The staff member assigned to the class</t>
  </si>
  <si>
    <t xml:space="preserve"> 1023</t>
  </si>
  <si>
    <t xml:space="preserve"> Staff(Id)</t>
  </si>
  <si>
    <t xml:space="preserve"> VARCHAR(50)</t>
  </si>
  <si>
    <t xml:space="preserve"> Staff role within the class</t>
  </si>
  <si>
    <t xml:space="preserve"> Teacher</t>
  </si>
  <si>
    <t xml:space="preserve"> </t>
  </si>
  <si>
    <t xml:space="preserve"> INT AUTO_INCREMENT</t>
  </si>
  <si>
    <t xml:space="preserve"> Primary key for location</t>
  </si>
  <si>
    <t xml:space="preserve"> 3</t>
  </si>
  <si>
    <t xml:space="preserve"> VARCHAR(100)</t>
  </si>
  <si>
    <t xml:space="preserve"> Name of the location/site</t>
  </si>
  <si>
    <t xml:space="preserve"> Main Campus</t>
  </si>
  <si>
    <t xml:space="preserve"> VARCHAR(20)</t>
  </si>
  <si>
    <t xml:space="preserve"> Short code for the location</t>
  </si>
  <si>
    <t xml:space="preserve"> MC</t>
  </si>
  <si>
    <t xml:space="preserve"> VARCHAR(255)</t>
  </si>
  <si>
    <t xml:space="preserve"> Optional description of the location</t>
  </si>
  <si>
    <t xml:space="preserve"> Main school building</t>
  </si>
  <si>
    <t xml:space="preserve"> DATETIME</t>
  </si>
  <si>
    <t xml:space="preserve"> Record creation timestamp</t>
  </si>
  <si>
    <t xml:space="preserve"> 2024-01-10 09:15:00</t>
  </si>
  <si>
    <t xml:space="preserve"> Last update timestamp</t>
  </si>
  <si>
    <t xml:space="preserve"> 2024-03-02 14:22:00</t>
  </si>
  <si>
    <t>StaffLocations</t>
  </si>
  <si>
    <t xml:space="preserve"> The staff member assigned to the phase</t>
  </si>
  <si>
    <t xml:space="preserve"> The phase the staff member works in</t>
  </si>
  <si>
    <t xml:space="preserve"> Phases(Id)</t>
  </si>
  <si>
    <t>StaffPhases</t>
  </si>
  <si>
    <t xml:space="preserve"> Primary key</t>
  </si>
  <si>
    <t xml:space="preserve"> Name of the absence type</t>
  </si>
  <si>
    <t xml:space="preserve"> Sick</t>
  </si>
  <si>
    <t xml:space="preserve"> Short code for reporting</t>
  </si>
  <si>
    <t xml:space="preserve"> SCK</t>
  </si>
  <si>
    <t xml:space="preserve"> Optional description</t>
  </si>
  <si>
    <t xml:space="preserve"> Sickness absence</t>
  </si>
  <si>
    <t>IsPaid</t>
  </si>
  <si>
    <t xml:space="preserve"> BIT</t>
  </si>
  <si>
    <t xml:space="preserve"> Whether this absence type is paid</t>
  </si>
  <si>
    <t xml:space="preserve"> 1</t>
  </si>
  <si>
    <t xml:space="preserve"> 2</t>
  </si>
  <si>
    <t xml:space="preserve"> Name of the external system</t>
  </si>
  <si>
    <t xml:space="preserve"> Google Workspace</t>
  </si>
  <si>
    <t xml:space="preserve"> Short code</t>
  </si>
  <si>
    <t xml:space="preserve"> GOOGLE</t>
  </si>
  <si>
    <t xml:space="preserve"> Google accounts for staff</t>
  </si>
  <si>
    <t xml:space="preserve"> The staff member assigned the responsibility</t>
  </si>
  <si>
    <t xml:space="preserve"> The responsibility assigned to the staff member</t>
  </si>
  <si>
    <t xml:space="preserve"> Responsibilities(Id)</t>
  </si>
  <si>
    <t xml:space="preserve"> 7</t>
  </si>
  <si>
    <t xml:space="preserve"> Responsibility name</t>
  </si>
  <si>
    <t xml:space="preserve"> Safeguarding Lead</t>
  </si>
  <si>
    <t xml:space="preserve"> SG-LEAD</t>
  </si>
  <si>
    <t xml:space="preserve"> Designated safeguarding lead</t>
  </si>
  <si>
    <t xml:space="preserve"> The class that belongs to the year group</t>
  </si>
  <si>
    <t xml:space="preserve"> The year group assigned to the class</t>
  </si>
  <si>
    <t xml:space="preserve"> YearGroups(Id)</t>
  </si>
  <si>
    <t xml:space="preserve"> Primary key for the year group</t>
  </si>
  <si>
    <t xml:space="preserve"> 5</t>
  </si>
  <si>
    <t xml:space="preserve"> Full name of the year group</t>
  </si>
  <si>
    <t xml:space="preserve"> Year 5</t>
  </si>
  <si>
    <t xml:space="preserve"> VARCHAR(10)</t>
  </si>
  <si>
    <t xml:space="preserve"> Short code for the year group</t>
  </si>
  <si>
    <t xml:space="preserve"> Y5</t>
  </si>
  <si>
    <t>DisplayOrder</t>
  </si>
  <si>
    <t xml:space="preserve"> Order to display year groups in UI/reports</t>
  </si>
  <si>
    <t xml:space="preserve"> Optional description of the year group</t>
  </si>
  <si>
    <t xml:space="preserve"> Standard Year 5 cohort</t>
  </si>
  <si>
    <t>StaffResponsibilities</t>
  </si>
  <si>
    <t>Action</t>
  </si>
  <si>
    <t>ChangedBy</t>
  </si>
  <si>
    <t>ChangeTime</t>
  </si>
  <si>
    <t>OLD_TABLE_NAME</t>
  </si>
  <si>
    <t>LINKED_TO</t>
  </si>
  <si>
    <t>Defines system/UI feature flags controlling behaviour.</t>
  </si>
  <si>
    <t>Maps Roles to FeatureFlags for permission control.</t>
  </si>
  <si>
    <t>Roles Feature</t>
  </si>
  <si>
    <t>RoleId FeatureId</t>
  </si>
  <si>
    <t>Users Feature</t>
  </si>
  <si>
    <t>UserId FeatureId</t>
  </si>
  <si>
    <t>Records system audit entries for user or system actions.</t>
  </si>
  <si>
    <t>Tracks login attempts successes failures lockouts.</t>
  </si>
  <si>
    <t>Audit trail for student absence changes.</t>
  </si>
  <si>
    <t>StudentAbsenceId</t>
  </si>
  <si>
    <t>Stores system level events warnings and operational logs.</t>
  </si>
  <si>
    <t>Departments JobTitles JobGroups Schools StaffLocations StaffPhases StaffResponsibilities StaffDevices StaffAbsences StaffExternalAccounts ClassMember</t>
  </si>
  <si>
    <t>DepartmentId JobTitleId JobGroupId SchoolId LocationId</t>
  </si>
  <si>
    <t>Records staff absences sickness leave etc.</t>
  </si>
  <si>
    <t>Records devices assigned to staff.</t>
  </si>
  <si>
    <t>External linked accounts Google Microsoft etc.</t>
  </si>
  <si>
    <t>Staff Roles</t>
  </si>
  <si>
    <t>Defines system roles SuperAdmin Admin Teacher etc.</t>
  </si>
  <si>
    <t>RoleTypes UserRole</t>
  </si>
  <si>
    <t>Lookup for role categories Admin StaffAdmin Teacher.</t>
  </si>
  <si>
    <t>Users Roles</t>
  </si>
  <si>
    <t>UserId RoleId</t>
  </si>
  <si>
    <t>Stores parent guardian emergency contact details.</t>
  </si>
  <si>
    <t>Structured flags for behaviour medical pastoral SEN attendance concerns.</t>
  </si>
  <si>
    <t>Lookup table defining categories of absence.</t>
  </si>
  <si>
    <t>Attendance StudentAbsences</t>
  </si>
  <si>
    <t>Individual attendance records for students.</t>
  </si>
  <si>
    <t>Students AttendanceMarks AttendanceRegisters</t>
  </si>
  <si>
    <t>StudentId MarkId RegisterId</t>
  </si>
  <si>
    <t>Lookup table for attendance codes.</t>
  </si>
  <si>
    <t>Defines register sessions AM PM or period based.</t>
  </si>
  <si>
    <t>Defines classes or teaching groups.</t>
  </si>
  <si>
    <t>ClassMember ClassYearGroupAssignments</t>
  </si>
  <si>
    <t>Links students to classes.</t>
  </si>
  <si>
    <t>Classes Students</t>
  </si>
  <si>
    <t>ClassId StudentId</t>
  </si>
  <si>
    <t>Links classes to year groups.</t>
  </si>
  <si>
    <t>Classes YearGroups</t>
  </si>
  <si>
    <t>ClassId YearGroupId</t>
  </si>
  <si>
    <t>Lookup table for year groups.</t>
  </si>
  <si>
    <t>Lookup for school phases EYFS KS1 KS2.</t>
  </si>
  <si>
    <t>Lookup for school houses Red Blue etc.</t>
  </si>
  <si>
    <t>Students (if used)</t>
  </si>
  <si>
    <t>Lookup for staff responsibilities.</t>
  </si>
  <si>
    <t>Lookup table defining categories of devices.</t>
  </si>
  <si>
    <t>Lookup table defining external systems.</t>
  </si>
  <si>
    <t>Records events related to account verification.</t>
  </si>
  <si>
    <t>Audit log of changes to user roles.</t>
  </si>
  <si>
    <t>UserId RoleId (if used)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</si>
</sst>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9">
    <border>
      <left/>
      <right/>
      <top/>
      <bottom/>
      <diagonal/>
    </border>
    <border>
      <left style="thick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0" tint="-0.14996795556505021"/>
      </bottom>
      <diagonal/>
    </border>
    <border>
      <left style="thin">
        <color theme="0" tint="-0.14996795556505021"/>
      </left>
      <right style="thick">
        <color theme="0" tint="-0.14996795556505021"/>
      </right>
      <top style="thin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ck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ck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ck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ck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 tint="-0.14996795556505021"/>
      </right>
      <top/>
      <bottom style="thin">
        <color theme="0" tint="-0.14996795556505021"/>
      </bottom>
      <diagonal/>
    </border>
    <border>
      <left style="thick">
        <color theme="0" tint="-0.14996795556505021"/>
      </left>
      <right style="thin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n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3743705557422"/>
      </bottom>
      <diagonal/>
    </border>
    <border>
      <left style="thick">
        <color theme="0" tint="-0.14996795556505021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ck">
        <color theme="0" tint="-0.14996795556505021"/>
      </right>
      <top style="thin">
        <color theme="0" tint="-0.14993743705557422"/>
      </top>
      <bottom/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quotePrefix="1"/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0" fontId="0" fillId="0" borderId="9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13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0" fillId="0" borderId="15" xfId="0" applyBorder="1" applyAlignment="1">
      <alignment horizontal="left" indent="1"/>
    </xf>
    <xf numFmtId="0" fontId="0" fillId="0" borderId="16" xfId="0" applyBorder="1" applyAlignment="1">
      <alignment horizontal="left" indent="1"/>
    </xf>
    <xf numFmtId="0" fontId="0" fillId="0" borderId="17" xfId="0" applyBorder="1" applyAlignment="1">
      <alignment horizontal="left" indent="1"/>
    </xf>
    <xf numFmtId="0" fontId="0" fillId="0" borderId="18" xfId="0" applyBorder="1" applyAlignment="1">
      <alignment horizontal="left" indent="1"/>
    </xf>
    <xf numFmtId="0" fontId="1" fillId="2" borderId="19" xfId="0" applyFont="1" applyFill="1" applyBorder="1" applyAlignment="1">
      <alignment horizontal="left" indent="1"/>
    </xf>
    <xf numFmtId="0" fontId="1" fillId="2" borderId="20" xfId="0" applyFont="1" applyFill="1" applyBorder="1" applyAlignment="1">
      <alignment horizontal="left" indent="1"/>
    </xf>
    <xf numFmtId="0" fontId="1" fillId="2" borderId="21" xfId="0" applyFont="1" applyFill="1" applyBorder="1" applyAlignment="1">
      <alignment horizontal="left" indent="1"/>
    </xf>
    <xf numFmtId="0" fontId="0" fillId="0" borderId="0" xfId="0" quotePrefix="1" applyAlignment="1">
      <alignment horizontal="left" indent="1"/>
    </xf>
    <xf numFmtId="0" fontId="0" fillId="0" borderId="7" xfId="0" applyBorder="1" applyAlignment="1">
      <alignment horizontal="left" vertical="top" indent="1"/>
    </xf>
    <xf numFmtId="0" fontId="0" fillId="0" borderId="8" xfId="0" applyBorder="1" applyAlignment="1">
      <alignment horizontal="left" vertical="top" indent="1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wrapText="1" indent="1"/>
    </xf>
    <xf numFmtId="0" fontId="0" fillId="0" borderId="11" xfId="0" applyBorder="1" applyAlignment="1">
      <alignment horizontal="left" wrapText="1" indent="1"/>
    </xf>
    <xf numFmtId="0" fontId="0" fillId="0" borderId="10" xfId="0" applyBorder="1" applyAlignment="1">
      <alignment horizontal="left" vertical="top" indent="1"/>
    </xf>
    <xf numFmtId="0" fontId="0" fillId="0" borderId="11" xfId="0" applyBorder="1" applyAlignment="1">
      <alignment horizontal="left" vertical="top" indent="1"/>
    </xf>
    <xf numFmtId="0" fontId="0" fillId="0" borderId="12" xfId="0" applyBorder="1" applyAlignment="1">
      <alignment horizontal="left" vertical="top" indent="1"/>
    </xf>
    <xf numFmtId="0" fontId="0" fillId="0" borderId="22" xfId="0" applyBorder="1" applyAlignment="1">
      <alignment horizontal="left" indent="1"/>
    </xf>
    <xf numFmtId="0" fontId="0" fillId="0" borderId="23" xfId="0" applyBorder="1" applyAlignment="1">
      <alignment horizontal="left" indent="1"/>
    </xf>
    <xf numFmtId="0" fontId="0" fillId="0" borderId="24" xfId="0" applyBorder="1" applyAlignment="1">
      <alignment horizontal="left" indent="1"/>
    </xf>
    <xf numFmtId="0" fontId="2" fillId="0" borderId="0" xfId="0" applyFont="1" applyAlignment="1">
      <alignment vertical="center"/>
    </xf>
    <xf numFmtId="0" fontId="0" fillId="0" borderId="12" xfId="0" applyBorder="1" applyAlignment="1">
      <alignment horizontal="left" wrapText="1" indent="1"/>
    </xf>
    <xf numFmtId="0" fontId="0" fillId="0" borderId="11" xfId="0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1" fillId="2" borderId="25" xfId="0" applyFont="1" applyFill="1" applyBorder="1" applyAlignment="1">
      <alignment horizontal="left" indent="1"/>
    </xf>
    <xf numFmtId="0" fontId="0" fillId="0" borderId="26" xfId="0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0" borderId="28" xfId="0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9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226219</xdr:colOff>
      <xdr:row>17</xdr:row>
      <xdr:rowOff>11906</xdr:rowOff>
    </xdr:from>
    <xdr:to>
      <xdr:col>34</xdr:col>
      <xdr:colOff>378620</xdr:colOff>
      <xdr:row>22</xdr:row>
      <xdr:rowOff>92869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66F7E5E3-2D68-459B-82A8-89E30E914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7813" y="3250406"/>
          <a:ext cx="1974057" cy="1033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357188</xdr:colOff>
      <xdr:row>23</xdr:row>
      <xdr:rowOff>35718</xdr:rowOff>
    </xdr:from>
    <xdr:to>
      <xdr:col>18</xdr:col>
      <xdr:colOff>21432</xdr:colOff>
      <xdr:row>53</xdr:row>
      <xdr:rowOff>21431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8171B49E-B90B-4024-BAEA-BD7D51126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7782" y="4417218"/>
          <a:ext cx="1366838" cy="5700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404811</xdr:colOff>
      <xdr:row>0</xdr:row>
      <xdr:rowOff>130969</xdr:rowOff>
    </xdr:from>
    <xdr:to>
      <xdr:col>20</xdr:col>
      <xdr:colOff>866774</xdr:colOff>
      <xdr:row>10</xdr:row>
      <xdr:rowOff>69057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CF368C-3D59-29E2-4C34-F86DEF1E0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7999" y="130969"/>
          <a:ext cx="1521619" cy="1843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1119187</xdr:colOff>
      <xdr:row>34</xdr:row>
      <xdr:rowOff>47627</xdr:rowOff>
    </xdr:from>
    <xdr:to>
      <xdr:col>27</xdr:col>
      <xdr:colOff>164305</xdr:colOff>
      <xdr:row>43</xdr:row>
      <xdr:rowOff>128590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4F574C-BCB0-6FF1-B48B-CC7DDBBBC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52093" y="6524627"/>
          <a:ext cx="1009650" cy="1795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11907</xdr:colOff>
      <xdr:row>1</xdr:row>
      <xdr:rowOff>11905</xdr:rowOff>
    </xdr:from>
    <xdr:to>
      <xdr:col>28</xdr:col>
      <xdr:colOff>866776</xdr:colOff>
      <xdr:row>8</xdr:row>
      <xdr:rowOff>92868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0B40DBA-17A0-8C21-A079-B1C8C0981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16563" y="202405"/>
          <a:ext cx="854869" cy="1414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476252</xdr:colOff>
      <xdr:row>5</xdr:row>
      <xdr:rowOff>35718</xdr:rowOff>
    </xdr:from>
    <xdr:to>
      <xdr:col>16</xdr:col>
      <xdr:colOff>807246</xdr:colOff>
      <xdr:row>12</xdr:row>
      <xdr:rowOff>116681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2A7019A-B9F9-88E7-A108-FB02CECE0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6846" y="988218"/>
          <a:ext cx="938213" cy="1414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285751</xdr:colOff>
      <xdr:row>17</xdr:row>
      <xdr:rowOff>190498</xdr:rowOff>
    </xdr:from>
    <xdr:to>
      <xdr:col>22</xdr:col>
      <xdr:colOff>188120</xdr:colOff>
      <xdr:row>25</xdr:row>
      <xdr:rowOff>80961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7C609AC-2CCD-70DF-309C-9DDBBDBE0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8595" y="3428998"/>
          <a:ext cx="1188244" cy="1414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23813</xdr:colOff>
      <xdr:row>24</xdr:row>
      <xdr:rowOff>178594</xdr:rowOff>
    </xdr:from>
    <xdr:to>
      <xdr:col>22</xdr:col>
      <xdr:colOff>666750</xdr:colOff>
      <xdr:row>29</xdr:row>
      <xdr:rowOff>83344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DC01A514-FA47-4C97-A735-81EE8998109A}"/>
            </a:ext>
          </a:extLst>
        </xdr:cNvPr>
        <xdr:cNvCxnSpPr/>
      </xdr:nvCxnSpPr>
      <xdr:spPr>
        <a:xfrm flipH="1" flipV="1">
          <a:off x="10227469" y="4750594"/>
          <a:ext cx="3048000" cy="8572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842963</xdr:colOff>
      <xdr:row>3</xdr:row>
      <xdr:rowOff>33338</xdr:rowOff>
    </xdr:from>
    <xdr:to>
      <xdr:col>22</xdr:col>
      <xdr:colOff>666750</xdr:colOff>
      <xdr:row>10</xdr:row>
      <xdr:rowOff>71437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8BB763B0-85CA-4D5F-B475-A260B985AF61}"/>
            </a:ext>
          </a:extLst>
        </xdr:cNvPr>
        <xdr:cNvCxnSpPr/>
      </xdr:nvCxnSpPr>
      <xdr:spPr>
        <a:xfrm>
          <a:off x="12165807" y="604838"/>
          <a:ext cx="1109662" cy="137159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797719</xdr:colOff>
      <xdr:row>19</xdr:row>
      <xdr:rowOff>1</xdr:rowOff>
    </xdr:from>
    <xdr:to>
      <xdr:col>26</xdr:col>
      <xdr:colOff>938213</xdr:colOff>
      <xdr:row>26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FA85ED-3375-461F-BB9A-1EE22C18F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0" y="3619501"/>
          <a:ext cx="1045369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476249</xdr:colOff>
      <xdr:row>20</xdr:row>
      <xdr:rowOff>154781</xdr:rowOff>
    </xdr:from>
    <xdr:to>
      <xdr:col>24</xdr:col>
      <xdr:colOff>797719</xdr:colOff>
      <xdr:row>28</xdr:row>
      <xdr:rowOff>23812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64E64D8-3EA9-4022-8B22-0C168258E39C}"/>
            </a:ext>
          </a:extLst>
        </xdr:cNvPr>
        <xdr:cNvCxnSpPr/>
      </xdr:nvCxnSpPr>
      <xdr:spPr>
        <a:xfrm flipV="1">
          <a:off x="14597062" y="3964781"/>
          <a:ext cx="928688" cy="139303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238125</xdr:colOff>
      <xdr:row>2</xdr:row>
      <xdr:rowOff>71437</xdr:rowOff>
    </xdr:from>
    <xdr:to>
      <xdr:col>26</xdr:col>
      <xdr:colOff>1759744</xdr:colOff>
      <xdr:row>6</xdr:row>
      <xdr:rowOff>128587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5B25A1D-FA8F-4B04-BFE7-C0F1D83E1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1031" y="452437"/>
          <a:ext cx="1521619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642938</xdr:colOff>
      <xdr:row>8</xdr:row>
      <xdr:rowOff>119062</xdr:rowOff>
    </xdr:from>
    <xdr:to>
      <xdr:col>23</xdr:col>
      <xdr:colOff>497682</xdr:colOff>
      <xdr:row>38</xdr:row>
      <xdr:rowOff>104775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06EAA50-75D2-4F2D-B348-ECA5C838A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1657" y="1643062"/>
          <a:ext cx="1366838" cy="5700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607218</xdr:colOff>
      <xdr:row>8</xdr:row>
      <xdr:rowOff>47624</xdr:rowOff>
    </xdr:from>
    <xdr:to>
      <xdr:col>26</xdr:col>
      <xdr:colOff>645318</xdr:colOff>
      <xdr:row>11</xdr:row>
      <xdr:rowOff>104774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CB87A4C-0975-47FD-BCA2-1AD2EC4D7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49" y="1571624"/>
          <a:ext cx="94297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154780</xdr:colOff>
      <xdr:row>11</xdr:row>
      <xdr:rowOff>23812</xdr:rowOff>
    </xdr:from>
    <xdr:to>
      <xdr:col>20</xdr:col>
      <xdr:colOff>140492</xdr:colOff>
      <xdr:row>20</xdr:row>
      <xdr:rowOff>152400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7E1A8CA-6B58-4558-A916-7E55AC9B8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7968" y="2119312"/>
          <a:ext cx="1045368" cy="1843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535780</xdr:colOff>
      <xdr:row>36</xdr:row>
      <xdr:rowOff>83344</xdr:rowOff>
    </xdr:from>
    <xdr:to>
      <xdr:col>26</xdr:col>
      <xdr:colOff>640555</xdr:colOff>
      <xdr:row>43</xdr:row>
      <xdr:rowOff>164307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33C3EDB-6FD6-4765-BE7B-C72634CCA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3811" y="6941344"/>
          <a:ext cx="1009650" cy="1414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142874</xdr:colOff>
      <xdr:row>27</xdr:row>
      <xdr:rowOff>59529</xdr:rowOff>
    </xdr:from>
    <xdr:to>
      <xdr:col>20</xdr:col>
      <xdr:colOff>319087</xdr:colOff>
      <xdr:row>34</xdr:row>
      <xdr:rowOff>140492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D2754C0-686E-4D1F-81C6-C5179927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6062" y="5203029"/>
          <a:ext cx="1235869" cy="1414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1631156</xdr:colOff>
      <xdr:row>22</xdr:row>
      <xdr:rowOff>130968</xdr:rowOff>
    </xdr:from>
    <xdr:to>
      <xdr:col>28</xdr:col>
      <xdr:colOff>104774</xdr:colOff>
      <xdr:row>32</xdr:row>
      <xdr:rowOff>21431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473C59C-D510-4CD4-85B5-83C96246A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4062" y="4321968"/>
          <a:ext cx="1045368" cy="1795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1214437</xdr:colOff>
      <xdr:row>8</xdr:row>
      <xdr:rowOff>47625</xdr:rowOff>
    </xdr:from>
    <xdr:to>
      <xdr:col>27</xdr:col>
      <xdr:colOff>485774</xdr:colOff>
      <xdr:row>17</xdr:row>
      <xdr:rowOff>128587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2B38D6E-E098-450E-98C2-267D0F327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47343" y="1571625"/>
          <a:ext cx="1235869" cy="1795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309562</xdr:colOff>
      <xdr:row>28</xdr:row>
      <xdr:rowOff>178594</xdr:rowOff>
    </xdr:from>
    <xdr:to>
      <xdr:col>22</xdr:col>
      <xdr:colOff>654843</xdr:colOff>
      <xdr:row>30</xdr:row>
      <xdr:rowOff>71437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4C7EC12-D185-48C1-A1A3-9C20EE0BF430}"/>
            </a:ext>
          </a:extLst>
        </xdr:cNvPr>
        <xdr:cNvCxnSpPr/>
      </xdr:nvCxnSpPr>
      <xdr:spPr>
        <a:xfrm flipH="1" flipV="1">
          <a:off x="11632406" y="5512594"/>
          <a:ext cx="1631156" cy="27384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464343</xdr:colOff>
      <xdr:row>24</xdr:row>
      <xdr:rowOff>80962</xdr:rowOff>
    </xdr:from>
    <xdr:to>
      <xdr:col>26</xdr:col>
      <xdr:colOff>1652587</xdr:colOff>
      <xdr:row>32</xdr:row>
      <xdr:rowOff>95250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1D202C38-4228-4A10-A552-67156A3DD6F3}"/>
            </a:ext>
          </a:extLst>
        </xdr:cNvPr>
        <xdr:cNvCxnSpPr/>
      </xdr:nvCxnSpPr>
      <xdr:spPr>
        <a:xfrm flipH="1">
          <a:off x="14585156" y="4652962"/>
          <a:ext cx="2700337" cy="153828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461961</xdr:colOff>
      <xdr:row>9</xdr:row>
      <xdr:rowOff>171449</xdr:rowOff>
    </xdr:from>
    <xdr:to>
      <xdr:col>24</xdr:col>
      <xdr:colOff>607218</xdr:colOff>
      <xdr:row>10</xdr:row>
      <xdr:rowOff>104774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117CD36B-152A-4462-A9B7-5A7070E617A2}"/>
            </a:ext>
          </a:extLst>
        </xdr:cNvPr>
        <xdr:cNvCxnSpPr>
          <a:stCxn id="33" idx="1"/>
        </xdr:cNvCxnSpPr>
      </xdr:nvCxnSpPr>
      <xdr:spPr>
        <a:xfrm flipH="1">
          <a:off x="14582774" y="1885949"/>
          <a:ext cx="752475" cy="123825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452437</xdr:colOff>
      <xdr:row>30</xdr:row>
      <xdr:rowOff>47625</xdr:rowOff>
    </xdr:from>
    <xdr:to>
      <xdr:col>24</xdr:col>
      <xdr:colOff>571500</xdr:colOff>
      <xdr:row>38</xdr:row>
      <xdr:rowOff>119062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AA6AA338-B295-43F3-889E-8D618C10710E}"/>
            </a:ext>
          </a:extLst>
        </xdr:cNvPr>
        <xdr:cNvCxnSpPr/>
      </xdr:nvCxnSpPr>
      <xdr:spPr>
        <a:xfrm flipH="1" flipV="1">
          <a:off x="14573250" y="5762625"/>
          <a:ext cx="726281" cy="159543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573880</xdr:colOff>
      <xdr:row>9</xdr:row>
      <xdr:rowOff>130969</xdr:rowOff>
    </xdr:from>
    <xdr:to>
      <xdr:col>26</xdr:col>
      <xdr:colOff>1250156</xdr:colOff>
      <xdr:row>10</xdr:row>
      <xdr:rowOff>157163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A520E2DB-CBB9-4CFF-B360-07C42BE5363E}"/>
            </a:ext>
          </a:extLst>
        </xdr:cNvPr>
        <xdr:cNvCxnSpPr/>
      </xdr:nvCxnSpPr>
      <xdr:spPr>
        <a:xfrm flipH="1">
          <a:off x="16206786" y="1845469"/>
          <a:ext cx="676276" cy="21669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476249</xdr:colOff>
      <xdr:row>33</xdr:row>
      <xdr:rowOff>107156</xdr:rowOff>
    </xdr:from>
    <xdr:to>
      <xdr:col>26</xdr:col>
      <xdr:colOff>1119188</xdr:colOff>
      <xdr:row>35</xdr:row>
      <xdr:rowOff>166687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5156632B-2D4F-438E-B9D5-AC649264191B}"/>
            </a:ext>
          </a:extLst>
        </xdr:cNvPr>
        <xdr:cNvCxnSpPr/>
      </xdr:nvCxnSpPr>
      <xdr:spPr>
        <a:xfrm flipH="1" flipV="1">
          <a:off x="14597062" y="6393656"/>
          <a:ext cx="2155032" cy="44053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440529</xdr:colOff>
      <xdr:row>5</xdr:row>
      <xdr:rowOff>59531</xdr:rowOff>
    </xdr:from>
    <xdr:to>
      <xdr:col>26</xdr:col>
      <xdr:colOff>261938</xdr:colOff>
      <xdr:row>10</xdr:row>
      <xdr:rowOff>1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466A64CA-7399-4FC8-8B68-D5F2316FF3D9}"/>
            </a:ext>
          </a:extLst>
        </xdr:cNvPr>
        <xdr:cNvCxnSpPr/>
      </xdr:nvCxnSpPr>
      <xdr:spPr>
        <a:xfrm flipH="1">
          <a:off x="14561342" y="1012031"/>
          <a:ext cx="1333502" cy="89297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1654969</xdr:colOff>
      <xdr:row>2</xdr:row>
      <xdr:rowOff>119062</xdr:rowOff>
    </xdr:from>
    <xdr:to>
      <xdr:col>28</xdr:col>
      <xdr:colOff>23813</xdr:colOff>
      <xdr:row>3</xdr:row>
      <xdr:rowOff>178594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5DA05A62-4C1E-4E1D-84FC-F9656EFA079A}"/>
            </a:ext>
          </a:extLst>
        </xdr:cNvPr>
        <xdr:cNvCxnSpPr/>
      </xdr:nvCxnSpPr>
      <xdr:spPr>
        <a:xfrm flipH="1">
          <a:off x="17287875" y="500062"/>
          <a:ext cx="940594" cy="25003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773905</xdr:colOff>
      <xdr:row>2</xdr:row>
      <xdr:rowOff>83344</xdr:rowOff>
    </xdr:from>
    <xdr:to>
      <xdr:col>18</xdr:col>
      <xdr:colOff>428624</xdr:colOff>
      <xdr:row>6</xdr:row>
      <xdr:rowOff>119063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E2B709BB-E10C-4DB9-9A44-8F4122EF8442}"/>
            </a:ext>
          </a:extLst>
        </xdr:cNvPr>
        <xdr:cNvCxnSpPr/>
      </xdr:nvCxnSpPr>
      <xdr:spPr>
        <a:xfrm flipH="1">
          <a:off x="9941718" y="464344"/>
          <a:ext cx="750094" cy="79771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166687</xdr:colOff>
      <xdr:row>10</xdr:row>
      <xdr:rowOff>35719</xdr:rowOff>
    </xdr:from>
    <xdr:to>
      <xdr:col>22</xdr:col>
      <xdr:colOff>666750</xdr:colOff>
      <xdr:row>19</xdr:row>
      <xdr:rowOff>166687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62136BB2-2A9E-4298-9102-9279F58E0904}"/>
            </a:ext>
          </a:extLst>
        </xdr:cNvPr>
        <xdr:cNvCxnSpPr/>
      </xdr:nvCxnSpPr>
      <xdr:spPr>
        <a:xfrm flipV="1">
          <a:off x="12775406" y="1940719"/>
          <a:ext cx="500063" cy="184546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30</xdr:col>
      <xdr:colOff>345282</xdr:colOff>
      <xdr:row>1</xdr:row>
      <xdr:rowOff>95251</xdr:rowOff>
    </xdr:from>
    <xdr:to>
      <xdr:col>32</xdr:col>
      <xdr:colOff>533401</xdr:colOff>
      <xdr:row>8</xdr:row>
      <xdr:rowOff>9526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A2E1A6-B6E4-4EDF-B2DE-0721B08FD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8157" y="285751"/>
          <a:ext cx="1974057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809625</xdr:colOff>
      <xdr:row>2</xdr:row>
      <xdr:rowOff>130969</xdr:rowOff>
    </xdr:from>
    <xdr:to>
      <xdr:col>30</xdr:col>
      <xdr:colOff>381000</xdr:colOff>
      <xdr:row>3</xdr:row>
      <xdr:rowOff>59531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472E8E3D-D9B2-467D-9EA5-B636F5086094}"/>
            </a:ext>
          </a:extLst>
        </xdr:cNvPr>
        <xdr:cNvCxnSpPr/>
      </xdr:nvCxnSpPr>
      <xdr:spPr>
        <a:xfrm>
          <a:off x="19014281" y="511969"/>
          <a:ext cx="559594" cy="1190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33</xdr:col>
      <xdr:colOff>369094</xdr:colOff>
      <xdr:row>1</xdr:row>
      <xdr:rowOff>154780</xdr:rowOff>
    </xdr:from>
    <xdr:to>
      <xdr:col>35</xdr:col>
      <xdr:colOff>92869</xdr:colOff>
      <xdr:row>8</xdr:row>
      <xdr:rowOff>92867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E70A300-B636-45F5-A50B-890455880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55125" y="345280"/>
          <a:ext cx="938213" cy="1271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497680</xdr:colOff>
      <xdr:row>3</xdr:row>
      <xdr:rowOff>107156</xdr:rowOff>
    </xdr:from>
    <xdr:to>
      <xdr:col>33</xdr:col>
      <xdr:colOff>392906</xdr:colOff>
      <xdr:row>5</xdr:row>
      <xdr:rowOff>21432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8851959-23F9-4E68-AAAC-CFBBC980FB3B}"/>
            </a:ext>
          </a:extLst>
        </xdr:cNvPr>
        <xdr:cNvCxnSpPr/>
      </xdr:nvCxnSpPr>
      <xdr:spPr>
        <a:xfrm flipV="1">
          <a:off x="21476493" y="678656"/>
          <a:ext cx="502444" cy="29527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107156</xdr:colOff>
      <xdr:row>10</xdr:row>
      <xdr:rowOff>130969</xdr:rowOff>
    </xdr:from>
    <xdr:to>
      <xdr:col>22</xdr:col>
      <xdr:colOff>642937</xdr:colOff>
      <xdr:row>13</xdr:row>
      <xdr:rowOff>166687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C8D3FDE-6A71-40EC-8CAE-3CC7076408AE}"/>
            </a:ext>
          </a:extLst>
        </xdr:cNvPr>
        <xdr:cNvCxnSpPr/>
      </xdr:nvCxnSpPr>
      <xdr:spPr>
        <a:xfrm flipV="1">
          <a:off x="11430000" y="2035969"/>
          <a:ext cx="1821656" cy="60721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464343</xdr:colOff>
      <xdr:row>10</xdr:row>
      <xdr:rowOff>130969</xdr:rowOff>
    </xdr:from>
    <xdr:to>
      <xdr:col>26</xdr:col>
      <xdr:colOff>1607344</xdr:colOff>
      <xdr:row>20</xdr:row>
      <xdr:rowOff>123825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10689723-D663-4C6E-82A3-979BD8892632}"/>
            </a:ext>
          </a:extLst>
        </xdr:cNvPr>
        <xdr:cNvCxnSpPr>
          <a:cxnSpLocks/>
        </xdr:cNvCxnSpPr>
      </xdr:nvCxnSpPr>
      <xdr:spPr>
        <a:xfrm flipH="1" flipV="1">
          <a:off x="14585156" y="2035969"/>
          <a:ext cx="2655094" cy="1897856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21432</xdr:colOff>
      <xdr:row>18</xdr:row>
      <xdr:rowOff>130969</xdr:rowOff>
    </xdr:from>
    <xdr:to>
      <xdr:col>31</xdr:col>
      <xdr:colOff>250031</xdr:colOff>
      <xdr:row>20</xdr:row>
      <xdr:rowOff>123825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F2D85BE-9782-4E42-B784-643D2FFF8C1E}"/>
            </a:ext>
          </a:extLst>
        </xdr:cNvPr>
        <xdr:cNvCxnSpPr>
          <a:cxnSpLocks/>
        </xdr:cNvCxnSpPr>
      </xdr:nvCxnSpPr>
      <xdr:spPr>
        <a:xfrm flipH="1">
          <a:off x="19214307" y="3559969"/>
          <a:ext cx="1407318" cy="37385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1583532</xdr:colOff>
      <xdr:row>18</xdr:row>
      <xdr:rowOff>178593</xdr:rowOff>
    </xdr:from>
    <xdr:to>
      <xdr:col>29</xdr:col>
      <xdr:colOff>57151</xdr:colOff>
      <xdr:row>22</xdr:row>
      <xdr:rowOff>45243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A2A870E-6548-43FF-B26A-CA7CE2349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16438" y="3607593"/>
          <a:ext cx="1974057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154781</xdr:colOff>
      <xdr:row>15</xdr:row>
      <xdr:rowOff>166688</xdr:rowOff>
    </xdr:from>
    <xdr:to>
      <xdr:col>16</xdr:col>
      <xdr:colOff>735806</xdr:colOff>
      <xdr:row>22</xdr:row>
      <xdr:rowOff>80963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3259A888-AE6C-472F-B7C5-83A8BCE2D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5375" y="3024188"/>
          <a:ext cx="1188244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666749</xdr:colOff>
      <xdr:row>12</xdr:row>
      <xdr:rowOff>178594</xdr:rowOff>
    </xdr:from>
    <xdr:to>
      <xdr:col>18</xdr:col>
      <xdr:colOff>178593</xdr:colOff>
      <xdr:row>17</xdr:row>
      <xdr:rowOff>107156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29945DC3-5C6C-465C-8B20-313DF12E2EC0}"/>
            </a:ext>
          </a:extLst>
        </xdr:cNvPr>
        <xdr:cNvCxnSpPr/>
      </xdr:nvCxnSpPr>
      <xdr:spPr>
        <a:xfrm flipH="1">
          <a:off x="9834562" y="2464594"/>
          <a:ext cx="607219" cy="8810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321469</xdr:colOff>
      <xdr:row>12</xdr:row>
      <xdr:rowOff>23814</xdr:rowOff>
    </xdr:from>
    <xdr:to>
      <xdr:col>15</xdr:col>
      <xdr:colOff>21432</xdr:colOff>
      <xdr:row>20</xdr:row>
      <xdr:rowOff>164308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2F9C7931-1067-438E-80ED-9E3D63296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0407" y="2309814"/>
          <a:ext cx="1521619" cy="1664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0</xdr:colOff>
      <xdr:row>14</xdr:row>
      <xdr:rowOff>178594</xdr:rowOff>
    </xdr:from>
    <xdr:to>
      <xdr:col>18</xdr:col>
      <xdr:colOff>178593</xdr:colOff>
      <xdr:row>15</xdr:row>
      <xdr:rowOff>11906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2BE02B0A-EDBC-4646-8C78-DD6DEEFB234C}"/>
            </a:ext>
          </a:extLst>
        </xdr:cNvPr>
        <xdr:cNvCxnSpPr/>
      </xdr:nvCxnSpPr>
      <xdr:spPr>
        <a:xfrm flipV="1">
          <a:off x="8560594" y="2845594"/>
          <a:ext cx="1881187" cy="2381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500063</xdr:colOff>
      <xdr:row>0</xdr:row>
      <xdr:rowOff>119063</xdr:rowOff>
    </xdr:from>
    <xdr:to>
      <xdr:col>15</xdr:col>
      <xdr:colOff>35719</xdr:colOff>
      <xdr:row>11</xdr:row>
      <xdr:rowOff>50007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546180FE-55D5-463A-9E39-80A21E872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1782" y="119063"/>
          <a:ext cx="1964531" cy="2026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11906</xdr:colOff>
      <xdr:row>3</xdr:row>
      <xdr:rowOff>59531</xdr:rowOff>
    </xdr:from>
    <xdr:to>
      <xdr:col>18</xdr:col>
      <xdr:colOff>416718</xdr:colOff>
      <xdr:row>4</xdr:row>
      <xdr:rowOff>95250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7832B99A-4806-41FD-8F15-B6ECD1623F70}"/>
            </a:ext>
          </a:extLst>
        </xdr:cNvPr>
        <xdr:cNvCxnSpPr/>
      </xdr:nvCxnSpPr>
      <xdr:spPr>
        <a:xfrm>
          <a:off x="8572500" y="631031"/>
          <a:ext cx="2107406" cy="22621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4CAABD7-CB82-4F32-AA4C-F10C3E5D9221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E642F82-B34E-4103-9C66-BF81DAE58E85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CB121C14-FEE5-4CB1-A792-C70ACBC56EBF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9DDB94A0-BA27-4A50-8A2D-C19805142FFB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ADD33FCF-D822-4091-BA36-C80BB4585CFF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9B1F5BB-3D9F-4FA2-A0DB-D770C13D1470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96086C3-FB46-48D3-936C-14D4F430711C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D70959-0EA0-461E-8618-90476084E624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 Data Type" tableColumnId="2"/>
      <queryTableField id="3" name=" Description" tableColumnId="3"/>
      <queryTableField id="4" name=" Example Value" tableColumnId="4"/>
      <queryTableField id="5" name=" Links To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A34B425-ED29-4F50-9CA3-0D40ED419C83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A5B2DDB3-138E-446E-A04A-6C504081A21B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CF9ED704-D3A5-4360-8D7B-FFCA6CE66454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INT AUTO_INCREMENT" tableColumnId="2"/>
      <queryTableField id="3" name="Primary key for audit entry" tableColumnId="3"/>
      <queryTableField id="4" name="9101" tableColumnId="4"/>
      <queryTableField id="5" name="Column1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1FC12E7-84D9-4494-B649-8219D363ACB3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 Data Type" tableColumnId="2"/>
      <queryTableField id="3" name=" Description" tableColumnId="3"/>
      <queryTableField id="4" name=" Example Value" tableColumnId="4"/>
      <queryTableField id="5" name=" Links To" tableColumnId="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41FFE11F-3AA4-41DD-85E7-D1750F9C882C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 Data Type" tableColumnId="2"/>
      <queryTableField id="3" name=" Description" tableColumnId="3"/>
      <queryTableField id="4" name=" Example Value" tableColumnId="4"/>
      <queryTableField id="5" name=" Links To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91E0820E-646C-40A1-8508-B30D8FBA0B0C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 Data Type" tableColumnId="2"/>
      <queryTableField id="3" name=" Description" tableColumnId="3"/>
      <queryTableField id="4" name=" Example Value" tableColumnId="4"/>
      <queryTableField id="5" name=" Links To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0169CCE-F872-47CF-869F-CE4F708605C8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 Data Type" tableColumnId="2"/>
      <queryTableField id="3" name=" Description" tableColumnId="3"/>
      <queryTableField id="4" name=" Example Value" tableColumnId="4"/>
      <queryTableField id="5" name=" Links To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EF054FC-72B0-4E62-B999-2BF8686A9DDF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 Data Type" tableColumnId="2"/>
      <queryTableField id="3" name=" Description" tableColumnId="3"/>
      <queryTableField id="4" name=" Example Value" tableColumnId="4"/>
      <queryTableField id="5" name=" Links To" tableColumnId="5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E354C53B-3723-4F9B-A09D-E5AF01B8CEF5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 Data Type" tableColumnId="2"/>
      <queryTableField id="3" name=" Description" tableColumnId="3"/>
      <queryTableField id="4" name=" Example Value" tableColumnId="4"/>
      <queryTableField id="5" name=" Links To" tableColumnId="5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5DF5F0A-56FE-40F8-999B-B5861FE6AD22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 Data Type" tableColumnId="2"/>
      <queryTableField id="3" name=" Description" tableColumnId="3"/>
      <queryTableField id="4" name=" Example Value" tableColumnId="4"/>
      <queryTableField id="5" name=" Links To" tableColumnId="5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203422CD-B866-4D2D-BA2A-441215F2A841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 Data Type" tableColumnId="2"/>
      <queryTableField id="3" name=" Description" tableColumnId="3"/>
      <queryTableField id="4" name=" Example Value" tableColumnId="4"/>
      <queryTableField id="5" name=" Links 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51E2E3-4188-4D0C-A5A9-88499EE85C3F}" name="a_Staff" displayName="a_Staff" ref="B2:F28" tableType="queryTable" totalsRowShown="0">
  <autoFilter ref="B2:F28" xr:uid="{A451E2E3-4188-4D0C-A5A9-88499EE85C3F}"/>
  <tableColumns count="5">
    <tableColumn id="1" xr3:uid="{4AD37DA1-FEAD-4C13-9609-2DD5580B42C5}" uniqueName="1" name="Field Name" queryTableFieldId="1" dataDxfId="91"/>
    <tableColumn id="2" xr3:uid="{81B57B36-78A8-4479-9C1E-EF593D88E29E}" uniqueName="2" name="Data Type" queryTableFieldId="2" dataDxfId="90"/>
    <tableColumn id="3" xr3:uid="{BDD81013-23F7-40F3-A02F-1A6470D27219}" uniqueName="3" name="Description" queryTableFieldId="3" dataDxfId="89"/>
    <tableColumn id="4" xr3:uid="{6ECE8040-C98D-4F42-B1E5-7B3811A2216F}" uniqueName="4" name="Example Value" queryTableFieldId="4" dataDxfId="88"/>
    <tableColumn id="5" xr3:uid="{68A83566-BC4C-45BF-B59A-D772FF9ADA0C}" uniqueName="5" name="Links To" queryTableFieldId="5" dataDxfId="8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8E95-F3DB-4BED-833B-9D22FAEF6E81}" name="a_StaffDepartments" displayName="a_StaffDepartments" ref="B2:F10" tableType="queryTable" totalsRowShown="0">
  <autoFilter ref="B2:F10" xr:uid="{BFA98E95-F3DB-4BED-833B-9D22FAEF6E81}"/>
  <tableColumns count="5">
    <tableColumn id="1" xr3:uid="{6A6B78A1-C45E-438D-BE33-573DB9A59738}" uniqueName="1" name="Field Name" queryTableFieldId="1" dataDxfId="86"/>
    <tableColumn id="2" xr3:uid="{2E98FBDC-D419-484A-A59E-5C3E7FF51CEF}" uniqueName="2" name="Data Type" queryTableFieldId="2" dataDxfId="85"/>
    <tableColumn id="3" xr3:uid="{A24D0580-1FD4-4B7D-915C-A417F7698462}" uniqueName="3" name="Description" queryTableFieldId="3" dataDxfId="84"/>
    <tableColumn id="4" xr3:uid="{EBCF0724-1192-4DE0-98E6-36F68E7D27E8}" uniqueName="4" name="Example Value" queryTableFieldId="4" dataDxfId="83"/>
    <tableColumn id="5" xr3:uid="{3B0CA5D6-6DCE-47EE-9CAF-0CA525B4D952}" uniqueName="5" name="Links To" queryTableFieldId="5" dataDxfId="8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562C45-3706-48E4-B797-3A3A977655E4}" name="a_StaffJobTitles" displayName="a_StaffJobTitles" ref="B2:F7" tableType="queryTable" totalsRowShown="0">
  <autoFilter ref="B2:F7" xr:uid="{7E562C45-3706-48E4-B797-3A3A977655E4}"/>
  <tableColumns count="5">
    <tableColumn id="1" xr3:uid="{1EAC55F8-0FB0-4889-A01D-D1058B014857}" uniqueName="1" name="Field Name" queryTableFieldId="1" dataDxfId="81"/>
    <tableColumn id="2" xr3:uid="{7E466C9D-4E85-469F-BD92-80E74CD0A244}" uniqueName="2" name="Data Type" queryTableFieldId="2" dataDxfId="80"/>
    <tableColumn id="3" xr3:uid="{FF9C0E94-B568-425F-B29C-1563AC31FBB5}" uniqueName="3" name="Description" queryTableFieldId="3" dataDxfId="79"/>
    <tableColumn id="4" xr3:uid="{F28AB509-555F-443C-A197-2D7DED33EE18}" uniqueName="4" name="Example Value" queryTableFieldId="4" dataDxfId="78"/>
    <tableColumn id="5" xr3:uid="{1EFBDB16-6CBB-4644-AE1D-EA73A08095F5}" uniqueName="5" name="Links To" queryTableFieldId="5" dataDxfId="7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B4D4B4-7FC7-4A38-BA14-CBF861543D7E}" name="a_StaffJobGroups" displayName="a_StaffJobGroups" ref="B2:F7" tableType="queryTable" totalsRowShown="0">
  <autoFilter ref="B2:F7" xr:uid="{88B4D4B4-7FC7-4A38-BA14-CBF861543D7E}"/>
  <tableColumns count="5">
    <tableColumn id="1" xr3:uid="{85237D11-0CC3-487F-A967-975E790234A0}" uniqueName="1" name="Field Name" queryTableFieldId="1" dataDxfId="76"/>
    <tableColumn id="2" xr3:uid="{269F30C0-6EF6-493D-845C-FE8F668BF236}" uniqueName="2" name="Data Type" queryTableFieldId="2" dataDxfId="75"/>
    <tableColumn id="3" xr3:uid="{7E007523-D65A-4BD7-B9A7-60FAC1F00E83}" uniqueName="3" name="Description" queryTableFieldId="3" dataDxfId="74"/>
    <tableColumn id="4" xr3:uid="{9C2FA1A8-C1E6-401F-8E74-334DF475740A}" uniqueName="4" name="Example Value" queryTableFieldId="4" dataDxfId="73"/>
    <tableColumn id="5" xr3:uid="{FCABB4AD-9392-4C13-9B48-C0E06F6830C1}" uniqueName="5" name="Links To" queryTableFieldId="5" dataDxfId="7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DF7CF96-1A09-44CE-A98C-3AE8A4598DE7}" name="a_StaffSchools" displayName="a_StaffSchools" ref="B2:F10" tableType="queryTable" totalsRowShown="0">
  <autoFilter ref="B2:F10" xr:uid="{5DF7CF96-1A09-44CE-A98C-3AE8A4598DE7}"/>
  <tableColumns count="5">
    <tableColumn id="1" xr3:uid="{649F1B6C-A994-4C69-A2AC-B903BBBF7F30}" uniqueName="1" name="Field Name" queryTableFieldId="1" dataDxfId="71"/>
    <tableColumn id="2" xr3:uid="{43A08E92-730A-4C5C-8F66-376D47504425}" uniqueName="2" name="Data Type" queryTableFieldId="2" dataDxfId="70"/>
    <tableColumn id="3" xr3:uid="{665BEE8F-DC24-4673-A564-5137BE277AC1}" uniqueName="3" name="Description" queryTableFieldId="3" dataDxfId="69"/>
    <tableColumn id="4" xr3:uid="{AB743E14-2730-4623-8915-6CBCFA4CA552}" uniqueName="4" name="Example Value" queryTableFieldId="4" dataDxfId="68"/>
    <tableColumn id="5" xr3:uid="{3E8679BF-9E74-4F69-ACF5-27A78BD3AFF8}" uniqueName="5" name="Links To" queryTableFieldId="5" dataDxfId="6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764E24-C872-46A2-9CC4-14FBC8F89817}" name="a_StaffAbsences" displayName="a_StaffAbsences" ref="B2:F12" tableType="queryTable" totalsRowShown="0">
  <autoFilter ref="B2:F12" xr:uid="{0F764E24-C872-46A2-9CC4-14FBC8F89817}"/>
  <tableColumns count="5">
    <tableColumn id="1" xr3:uid="{109B4781-A663-4325-9CE7-11370121F744}" uniqueName="1" name="Field Name" queryTableFieldId="1" dataDxfId="66"/>
    <tableColumn id="2" xr3:uid="{114268D5-93EA-493A-A3E5-1F85ABF613B9}" uniqueName="2" name="Data Type" queryTableFieldId="2" dataDxfId="65"/>
    <tableColumn id="3" xr3:uid="{4CA08924-2931-4920-8F14-3C5D21231123}" uniqueName="3" name="Description" queryTableFieldId="3" dataDxfId="64"/>
    <tableColumn id="4" xr3:uid="{D09CB9D9-B8DF-42A1-A541-36482470EE2F}" uniqueName="4" name="Example Value" queryTableFieldId="4" dataDxfId="63"/>
    <tableColumn id="5" xr3:uid="{B3596DEC-2610-4894-8D04-97B59D05E18A}" uniqueName="5" name="Links To" queryTableFieldId="5" dataDxfId="6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73422FF-18B8-468D-9253-5BE31DBB33B1}" name="a_StaffAbsenceAudit" displayName="a_StaffAbsenceAudit" ref="B2:F9" tableType="queryTable" totalsRowShown="0">
  <autoFilter ref="B2:F9" xr:uid="{273422FF-18B8-468D-9253-5BE31DBB33B1}"/>
  <tableColumns count="5">
    <tableColumn id="1" xr3:uid="{2D56D6CB-AB37-478F-BCFD-5AE06A58FAE3}" uniqueName="1" name="Field Name" queryTableFieldId="1" dataDxfId="51"/>
    <tableColumn id="2" xr3:uid="{D559FBB1-4548-4B03-9E2D-57AB664DA1F3}" uniqueName="2" name="Data Type" queryTableFieldId="2" dataDxfId="50"/>
    <tableColumn id="3" xr3:uid="{876EF8F6-C3DD-41E8-9C55-5FCCBB7FE276}" uniqueName="3" name="Description" queryTableFieldId="3" dataDxfId="49"/>
    <tableColumn id="4" xr3:uid="{EE285044-AEA3-43B7-AB00-DB175DE07BDE}" uniqueName="4" name="Example Value" queryTableFieldId="4" dataDxfId="48"/>
    <tableColumn id="5" xr3:uid="{B4770051-C93B-427C-9947-E4F3C9354F00}" uniqueName="5" name="Links To" queryTableFieldId="5" dataDxfId="4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EE3FF17-B61E-405B-B7BD-252D1D39E5D2}" name="a_AbsenceTypes" displayName="a_AbsenceTypes" ref="B2:F7" tableType="queryTable" totalsRowShown="0">
  <autoFilter ref="B2:F7" xr:uid="{BEE3FF17-B61E-405B-B7BD-252D1D39E5D2}"/>
  <tableColumns count="5">
    <tableColumn id="1" xr3:uid="{FF046A02-99D9-4511-BB55-0B921A7A2696}" uniqueName="1" name="Field Name" queryTableFieldId="1" dataDxfId="27"/>
    <tableColumn id="2" xr3:uid="{12B393CD-287E-475A-B5B2-0EB6410D9589}" uniqueName="2" name=" Data Type" queryTableFieldId="2" dataDxfId="26"/>
    <tableColumn id="3" xr3:uid="{F351EA3F-DDA5-44E2-97FB-7662E3EDDB6B}" uniqueName="3" name=" Description" queryTableFieldId="3" dataDxfId="25"/>
    <tableColumn id="4" xr3:uid="{2C2F7769-A246-49C6-BDFC-5A58AFC232EC}" uniqueName="4" name=" Example Value" queryTableFieldId="4" dataDxfId="24"/>
    <tableColumn id="5" xr3:uid="{AD3D4E32-EF60-4944-9C42-54024578469C}" uniqueName="5" name=" Links To" queryTableFieldId="5" dataDxfId="2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5BEF38A-1EFD-4D95-BC83-0D5062939089}" name="a_StaffAssignments" displayName="a_StaffAssignments" ref="B2:F10" tableType="queryTable" totalsRowShown="0">
  <autoFilter ref="B2:F10" xr:uid="{D5BEF38A-1EFD-4D95-BC83-0D5062939089}"/>
  <tableColumns count="5">
    <tableColumn id="1" xr3:uid="{620FAF70-E70E-432C-8DEE-6E72D23946D2}" uniqueName="1" name="Field Name" queryTableFieldId="1" dataDxfId="61"/>
    <tableColumn id="2" xr3:uid="{A07593B4-0AE6-4694-8146-234FFCC7FEDE}" uniqueName="2" name="Data Type" queryTableFieldId="2" dataDxfId="60"/>
    <tableColumn id="3" xr3:uid="{EB74AEC9-A08B-444C-9BC3-FD97362E5EAC}" uniqueName="3" name="Description" queryTableFieldId="3" dataDxfId="59"/>
    <tableColumn id="4" xr3:uid="{606EEF92-2C20-4149-B93A-B8E0911D6A0A}" uniqueName="4" name="Example Value" queryTableFieldId="4" dataDxfId="58"/>
    <tableColumn id="5" xr3:uid="{916053E3-81F3-4B8A-8DC3-C7A440E2BD73}" uniqueName="5" name="Links To" queryTableFieldId="5" dataDxfId="5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A70E98-E781-441D-BEF3-A886F0B76B15}" name="a_StaffDevices" displayName="a_StaffDevices" ref="B2:F11" tableType="queryTable" totalsRowShown="0">
  <autoFilter ref="B2:F11" xr:uid="{2AA70E98-E781-441D-BEF3-A886F0B76B15}"/>
  <tableColumns count="5">
    <tableColumn id="1" xr3:uid="{A5732B03-A14A-4E90-80BE-0D63DDFC81CF}" uniqueName="1" name="Field Name" queryTableFieldId="1" dataDxfId="56"/>
    <tableColumn id="2" xr3:uid="{125A66F8-4403-45A9-A67B-D5F5C4339333}" uniqueName="2" name="Data Type" queryTableFieldId="2" dataDxfId="55"/>
    <tableColumn id="3" xr3:uid="{A27926E9-E0AD-4DBB-8122-B08A91D9EE91}" uniqueName="3" name="Description" queryTableFieldId="3" dataDxfId="54"/>
    <tableColumn id="4" xr3:uid="{D17134C7-E488-46C7-9A18-190E0CF61F7F}" uniqueName="4" name="Example Value" queryTableFieldId="4" dataDxfId="53"/>
    <tableColumn id="5" xr3:uid="{906A460C-5768-4C33-BE18-6D16EE614F57}" uniqueName="5" name="Links To" queryTableFieldId="5" dataDxfId="5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0B44336-0FA1-4770-AA57-24B5E10B532E}" name="a_StaffDeviceAudit" displayName="a_StaffDeviceAudit" ref="B2:F8" tableType="queryTable" totalsRowShown="0">
  <autoFilter ref="B2:F8" xr:uid="{70B44336-0FA1-4770-AA57-24B5E10B532E}"/>
  <tableColumns count="5">
    <tableColumn id="1" xr3:uid="{025158DD-8CA4-4959-BBDB-E4EB5218A0D7}" uniqueName="1" name="Id" queryTableFieldId="1" dataDxfId="46"/>
    <tableColumn id="2" xr3:uid="{98527F8A-C56F-4F17-93B4-6C93B8A02B77}" uniqueName="2" name="INT AUTO_INCREMENT" queryTableFieldId="2" dataDxfId="45"/>
    <tableColumn id="3" xr3:uid="{CB21CABB-1BEC-4C52-B90D-7D952CE2FC75}" uniqueName="3" name="Primary key for audit entry" queryTableFieldId="3" dataDxfId="44"/>
    <tableColumn id="4" xr3:uid="{08C04D44-1A0D-4D77-B854-EC624028B7D1}" uniqueName="4" name="9101" queryTableFieldId="4" dataDxfId="43"/>
    <tableColumn id="5" xr3:uid="{DE130029-9BFE-461B-A67E-C3267D62B59E}" uniqueName="5" name="Column1" queryTableFieldId="5" dataDxfId="4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4D91D4-37C0-44A9-93E1-94912C6E34F5}" name="a_ClassMember" displayName="a_ClassMember" ref="B2:F5" tableType="queryTable" totalsRowShown="0">
  <autoFilter ref="B2:F5" xr:uid="{854D91D4-37C0-44A9-93E1-94912C6E34F5}"/>
  <tableColumns count="5">
    <tableColumn id="1" xr3:uid="{C202610B-2007-4FA7-9558-C4241247BEE2}" uniqueName="1" name="Field Name" queryTableFieldId="1" dataDxfId="41"/>
    <tableColumn id="2" xr3:uid="{25F1CB52-336A-4193-AA63-3B512D1ADEC4}" uniqueName="2" name=" Data Type" queryTableFieldId="2" dataDxfId="40"/>
    <tableColumn id="3" xr3:uid="{E6FF2E90-7486-41D9-8558-33E75CE0A13E}" uniqueName="3" name=" Description" queryTableFieldId="3" dataDxfId="39"/>
    <tableColumn id="4" xr3:uid="{D767AAF9-4438-4A2B-82B0-9F0C773B960F}" uniqueName="4" name=" Example Value" queryTableFieldId="4" dataDxfId="38"/>
    <tableColumn id="5" xr3:uid="{C7C09869-4F2F-4751-B0CF-D15666557914}" uniqueName="5" name=" Links To" queryTableFieldId="5" dataDxfId="3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6E963C-D3A5-4CEF-845E-FFEFAF64FD73}" name="a_StaffLocations" displayName="a_StaffLocations" ref="B2:F8" tableType="queryTable" totalsRowShown="0">
  <autoFilter ref="B2:F8" xr:uid="{6A6E963C-D3A5-4CEF-845E-FFEFAF64FD73}"/>
  <tableColumns count="5">
    <tableColumn id="1" xr3:uid="{99A3A439-E3FD-4093-BC3E-36C872416A16}" uniqueName="1" name="Field Name" queryTableFieldId="1" dataDxfId="36"/>
    <tableColumn id="2" xr3:uid="{BE0BAAB5-80C1-4B7C-A434-876CA542B58C}" uniqueName="2" name=" Data Type" queryTableFieldId="2" dataDxfId="35"/>
    <tableColumn id="3" xr3:uid="{47370423-DC01-415A-9CDB-52B8390626F2}" uniqueName="3" name=" Description" queryTableFieldId="3" dataDxfId="34"/>
    <tableColumn id="4" xr3:uid="{9CAEA709-B31D-40A8-8911-4B80BBA94E87}" uniqueName="4" name=" Example Value" queryTableFieldId="4" dataDxfId="33"/>
    <tableColumn id="5" xr3:uid="{A8F6B208-6C9D-4F94-A5B2-625A98031971}" uniqueName="5" name=" Links To" queryTableFieldId="5" dataDxfId="3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60137D4-2B3C-43CB-B1FD-7DD50CEF758A}" name="a_StaffPhases" displayName="a_StaffPhases" ref="B2:F4" tableType="queryTable" totalsRowShown="0">
  <autoFilter ref="B2:F4" xr:uid="{360137D4-2B3C-43CB-B1FD-7DD50CEF758A}"/>
  <tableColumns count="5">
    <tableColumn id="1" xr3:uid="{F1BA7A0A-5BDE-411B-951A-A3AFB9578FE4}" uniqueName="1" name="Field Name" queryTableFieldId="1" dataDxfId="31"/>
    <tableColumn id="2" xr3:uid="{C9C08528-A955-4B0F-A6D1-EE4E7517F6B4}" uniqueName="2" name=" Data Type" queryTableFieldId="2" dataDxfId="30"/>
    <tableColumn id="3" xr3:uid="{F4A6DB00-02A3-44B6-8B1A-D13A806C1AF2}" uniqueName="3" name=" Description" queryTableFieldId="3" dataDxfId="29"/>
    <tableColumn id="4" xr3:uid="{4580415B-0322-4161-9534-1A7A335AE854}" uniqueName="4" name=" Example Value" queryTableFieldId="4"/>
    <tableColumn id="5" xr3:uid="{3237D930-6518-4085-A0A6-11D5568FE4DA}" uniqueName="5" name=" Links To" queryTableFieldId="5" dataDxfId="2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C62FE59-7307-4675-8C4A-FDCF12F657AE}" name="a_ExternalSystems" displayName="a_ExternalSystems" ref="B2:F6" tableType="queryTable" totalsRowShown="0">
  <autoFilter ref="B2:F6" xr:uid="{0C62FE59-7307-4675-8C4A-FDCF12F657AE}"/>
  <tableColumns count="5">
    <tableColumn id="1" xr3:uid="{87B96DB9-5EB0-4B8B-B5EF-EBBDD443E17B}" uniqueName="1" name="Field Name" queryTableFieldId="1" dataDxfId="22"/>
    <tableColumn id="2" xr3:uid="{C4ED201B-DC0F-4A30-9003-52BB8D4D96D7}" uniqueName="2" name=" Data Type" queryTableFieldId="2" dataDxfId="21"/>
    <tableColumn id="3" xr3:uid="{121EEDF4-C76A-4216-BD24-DDFC5CAE9B79}" uniqueName="3" name=" Description" queryTableFieldId="3" dataDxfId="20"/>
    <tableColumn id="4" xr3:uid="{F65896A3-7801-459D-A1E7-3E6A92A19638}" uniqueName="4" name=" Example Value" queryTableFieldId="4" dataDxfId="19"/>
    <tableColumn id="5" xr3:uid="{3E952A93-2D7E-4529-BAFD-28DCBEC92B13}" uniqueName="5" name=" Links To" queryTableFieldId="5" dataDxfId="1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97309D1-47D0-4BF7-9D0E-554F2ECB5507}" name="a_Responsibilities" displayName="a_Responsibilities" ref="B2:F6" tableType="queryTable" totalsRowShown="0">
  <autoFilter ref="B2:F6" xr:uid="{D97309D1-47D0-4BF7-9D0E-554F2ECB5507}"/>
  <tableColumns count="5">
    <tableColumn id="1" xr3:uid="{1A863EF4-ABFC-4A8B-AA58-AE2727F033A2}" uniqueName="1" name="Field Name" queryTableFieldId="1" dataDxfId="13"/>
    <tableColumn id="2" xr3:uid="{17DBF9A3-3D56-4B25-B3DB-033C26BA81DD}" uniqueName="2" name=" Data Type" queryTableFieldId="2" dataDxfId="12"/>
    <tableColumn id="3" xr3:uid="{0E62165A-3708-498B-9724-56968C4FDDFF}" uniqueName="3" name=" Description" queryTableFieldId="3" dataDxfId="11"/>
    <tableColumn id="4" xr3:uid="{CBA530D9-0F46-4EB3-BE1E-C7F9D8477615}" uniqueName="4" name=" Example Value" queryTableFieldId="4" dataDxfId="10"/>
    <tableColumn id="5" xr3:uid="{F8B6F5EB-D101-4731-BA72-5CD71DDE6A84}" uniqueName="5" name=" Links To" queryTableFieldId="5" dataDxfId="9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ED2827-0F87-4916-AF52-DB73912C0A28}" name="a_StaffResponsibilities" displayName="a_StaffResponsibilities" ref="B2:F4" tableType="queryTable" totalsRowShown="0">
  <autoFilter ref="B2:F4" xr:uid="{8AED2827-0F87-4916-AF52-DB73912C0A28}"/>
  <tableColumns count="5">
    <tableColumn id="1" xr3:uid="{BD8DE93C-79CE-4F60-B7E7-2E99DB757776}" uniqueName="1" name="Field Name" queryTableFieldId="1" dataDxfId="17"/>
    <tableColumn id="2" xr3:uid="{F28D7C30-AF66-4466-AAEC-1C24B02BE1E2}" uniqueName="2" name=" Data Type" queryTableFieldId="2" dataDxfId="16"/>
    <tableColumn id="3" xr3:uid="{DD51499F-377C-446F-B4C1-B72A8114F8BE}" uniqueName="3" name=" Description" queryTableFieldId="3" dataDxfId="15"/>
    <tableColumn id="4" xr3:uid="{7CF03D03-8E31-47F5-9027-7D3067214623}" uniqueName="4" name=" Example Value" queryTableFieldId="4"/>
    <tableColumn id="5" xr3:uid="{5C4DCE35-FB23-4216-89EF-8BA9499C4E74}" uniqueName="5" name=" Links To" queryTableFieldId="5" dataDxfId="1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20A4728-DA17-46BE-A197-40BA3027182A}" name="a_ClassYearGroupAssignments" displayName="a_ClassYearGroupAssignments" ref="B2:F5" tableType="queryTable" totalsRowShown="0">
  <autoFilter ref="B2:F5" xr:uid="{620A4728-DA17-46BE-A197-40BA3027182A}"/>
  <tableColumns count="5">
    <tableColumn id="1" xr3:uid="{C4CA0E66-0D28-440A-BFE6-D11DCC580CF8}" uniqueName="1" name="Field Name" queryTableFieldId="1" dataDxfId="8"/>
    <tableColumn id="2" xr3:uid="{DC3CE2B7-FEB4-489A-B056-0B8A4D321FD8}" uniqueName="2" name=" Data Type" queryTableFieldId="2" dataDxfId="7"/>
    <tableColumn id="3" xr3:uid="{5B4CF036-5536-4A61-825C-B25E3D8DF7AE}" uniqueName="3" name=" Description" queryTableFieldId="3" dataDxfId="6"/>
    <tableColumn id="4" xr3:uid="{7BEE2746-925D-4F39-87B2-2A0115F69A9C}" uniqueName="4" name=" Example Value" queryTableFieldId="4"/>
    <tableColumn id="5" xr3:uid="{64C39D61-9EF2-4F61-B8BD-6F015566B804}" uniqueName="5" name=" Links To" queryTableFieldId="5" dataDxfId="5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5E5F680-EC92-414C-8E00-A27FC143D9EA}" name="a_YearGroups" displayName="a_YearGroups" ref="B2:F7" tableType="queryTable" totalsRowShown="0">
  <autoFilter ref="B2:F7" xr:uid="{55E5F680-EC92-414C-8E00-A27FC143D9EA}"/>
  <tableColumns count="5">
    <tableColumn id="1" xr3:uid="{B30313FB-060B-40EC-B9F1-C5229CCAD14C}" uniqueName="1" name="Field Name" queryTableFieldId="1" dataDxfId="4"/>
    <tableColumn id="2" xr3:uid="{BD12352D-E382-45DC-B196-47F33595F4B8}" uniqueName="2" name=" Data Type" queryTableFieldId="2" dataDxfId="3"/>
    <tableColumn id="3" xr3:uid="{29C70984-C412-40F0-ACD2-0DC90A266D4E}" uniqueName="3" name=" Description" queryTableFieldId="3" dataDxfId="2"/>
    <tableColumn id="4" xr3:uid="{9C5F462E-07F8-425B-9B0A-B933FF775C98}" uniqueName="4" name=" Example Value" queryTableFieldId="4" dataDxfId="1"/>
    <tableColumn id="5" xr3:uid="{CAB8393D-FE01-4141-BAC6-45AD9AC2D6C8}" uniqueName="5" name=" Links 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5076-3E77-4255-B3F4-CA896ED46E23}">
  <dimension ref="A1:J74"/>
  <sheetViews>
    <sheetView showGridLines="0" zoomScale="80" zoomScaleNormal="80" workbookViewId="0">
      <selection activeCell="B2" sqref="B2:E55"/>
    </sheetView>
  </sheetViews>
  <sheetFormatPr defaultRowHeight="15"/>
  <cols>
    <col min="1" max="1" width="10.140625" customWidth="1"/>
    <col min="2" max="2" width="27.7109375" style="2" customWidth="1"/>
    <col min="3" max="3" width="52.5703125" style="2" bestFit="1" customWidth="1"/>
    <col min="4" max="4" width="29.85546875" style="2" customWidth="1"/>
    <col min="5" max="5" width="21.5703125" style="2" bestFit="1" customWidth="1"/>
    <col min="7" max="7" width="66.5703125" customWidth="1"/>
    <col min="8" max="8" width="3.85546875" customWidth="1"/>
    <col min="9" max="9" width="28.28515625" customWidth="1"/>
  </cols>
  <sheetData>
    <row r="1" spans="1:10" ht="15.75" thickBot="1"/>
    <row r="2" spans="1:10" ht="16.5" thickTop="1" thickBot="1">
      <c r="A2" t="s">
        <v>128</v>
      </c>
      <c r="B2" s="21" t="s">
        <v>0</v>
      </c>
      <c r="C2" s="22" t="s">
        <v>1</v>
      </c>
      <c r="D2" s="22" t="s">
        <v>2</v>
      </c>
      <c r="E2" s="23" t="s">
        <v>3</v>
      </c>
      <c r="I2" t="s">
        <v>127</v>
      </c>
    </row>
    <row r="3" spans="1:10" ht="15.75" thickTop="1">
      <c r="B3" s="18" t="s">
        <v>4</v>
      </c>
      <c r="C3" s="19" t="s">
        <v>8</v>
      </c>
      <c r="D3" s="19" t="s">
        <v>9</v>
      </c>
      <c r="E3" s="20" t="s">
        <v>9</v>
      </c>
      <c r="I3" t="s">
        <v>133</v>
      </c>
      <c r="J3">
        <f t="shared" ref="J3:J23" si="0">MATCH(I3,B:B,0)</f>
        <v>38</v>
      </c>
    </row>
    <row r="4" spans="1:10">
      <c r="B4" s="3" t="s">
        <v>10</v>
      </c>
      <c r="C4" s="4" t="s">
        <v>11</v>
      </c>
      <c r="D4" s="4" t="s">
        <v>9</v>
      </c>
      <c r="E4" s="5" t="s">
        <v>9</v>
      </c>
      <c r="I4" t="s">
        <v>134</v>
      </c>
      <c r="J4">
        <f t="shared" si="0"/>
        <v>54</v>
      </c>
    </row>
    <row r="5" spans="1:10">
      <c r="B5" s="3" t="s">
        <v>5</v>
      </c>
      <c r="C5" s="4" t="s">
        <v>12</v>
      </c>
      <c r="D5" s="4" t="s">
        <v>6</v>
      </c>
      <c r="E5" s="5" t="s">
        <v>13</v>
      </c>
      <c r="I5" t="s">
        <v>135</v>
      </c>
      <c r="J5">
        <f t="shared" si="0"/>
        <v>61</v>
      </c>
    </row>
    <row r="6" spans="1:10">
      <c r="B6" s="3" t="s">
        <v>6</v>
      </c>
      <c r="C6" s="4" t="s">
        <v>14</v>
      </c>
      <c r="D6" s="4" t="s">
        <v>15</v>
      </c>
      <c r="E6" s="5" t="s">
        <v>16</v>
      </c>
      <c r="I6" t="s">
        <v>136</v>
      </c>
      <c r="J6">
        <f t="shared" si="0"/>
        <v>39</v>
      </c>
    </row>
    <row r="7" spans="1:10" ht="15.75" thickBot="1">
      <c r="B7" s="6" t="s">
        <v>7</v>
      </c>
      <c r="C7" s="7" t="s">
        <v>17</v>
      </c>
      <c r="D7" s="7" t="s">
        <v>18</v>
      </c>
      <c r="E7" s="8" t="s">
        <v>19</v>
      </c>
      <c r="I7" t="s">
        <v>137</v>
      </c>
      <c r="J7">
        <f t="shared" si="0"/>
        <v>40</v>
      </c>
    </row>
    <row r="8" spans="1:10" ht="16.5" thickTop="1" thickBot="1">
      <c r="A8" t="s">
        <v>129</v>
      </c>
      <c r="B8" s="21" t="s">
        <v>0</v>
      </c>
      <c r="C8" s="22" t="s">
        <v>1</v>
      </c>
      <c r="D8" s="22" t="s">
        <v>2</v>
      </c>
      <c r="E8" s="23" t="s">
        <v>3</v>
      </c>
      <c r="G8" t="s">
        <v>20</v>
      </c>
      <c r="I8" t="s">
        <v>138</v>
      </c>
      <c r="J8">
        <f t="shared" si="0"/>
        <v>41</v>
      </c>
    </row>
    <row r="9" spans="1:10" ht="15.75" thickTop="1">
      <c r="B9" s="9" t="s">
        <v>25</v>
      </c>
      <c r="C9" s="10" t="s">
        <v>26</v>
      </c>
      <c r="D9" s="10" t="s">
        <v>27</v>
      </c>
      <c r="E9" s="11" t="s">
        <v>28</v>
      </c>
      <c r="G9" s="1" t="s">
        <v>21</v>
      </c>
      <c r="I9" t="s">
        <v>25</v>
      </c>
      <c r="J9">
        <f t="shared" si="0"/>
        <v>9</v>
      </c>
    </row>
    <row r="10" spans="1:10">
      <c r="B10" s="12" t="s">
        <v>29</v>
      </c>
      <c r="C10" s="13" t="s">
        <v>30</v>
      </c>
      <c r="D10" s="13" t="s">
        <v>9</v>
      </c>
      <c r="E10" s="14" t="s">
        <v>9</v>
      </c>
      <c r="G10" s="1" t="s">
        <v>22</v>
      </c>
      <c r="I10" t="s">
        <v>139</v>
      </c>
      <c r="J10">
        <f t="shared" si="0"/>
        <v>43</v>
      </c>
    </row>
    <row r="11" spans="1:10">
      <c r="B11" s="12" t="s">
        <v>31</v>
      </c>
      <c r="C11" s="13" t="s">
        <v>32</v>
      </c>
      <c r="D11" s="13" t="s">
        <v>33</v>
      </c>
      <c r="E11" s="14" t="s">
        <v>34</v>
      </c>
      <c r="G11" s="1" t="s">
        <v>24</v>
      </c>
      <c r="I11" t="s">
        <v>140</v>
      </c>
      <c r="J11">
        <f t="shared" si="0"/>
        <v>44</v>
      </c>
    </row>
    <row r="12" spans="1:10">
      <c r="B12" s="12" t="s">
        <v>37</v>
      </c>
      <c r="C12" s="13" t="s">
        <v>38</v>
      </c>
      <c r="D12" s="13" t="s">
        <v>39</v>
      </c>
      <c r="E12" s="14" t="s">
        <v>40</v>
      </c>
      <c r="G12" s="1" t="s">
        <v>23</v>
      </c>
      <c r="I12" t="s">
        <v>141</v>
      </c>
      <c r="J12">
        <f t="shared" si="0"/>
        <v>45</v>
      </c>
    </row>
    <row r="13" spans="1:10">
      <c r="B13" s="12" t="s">
        <v>41</v>
      </c>
      <c r="C13" s="13" t="s">
        <v>42</v>
      </c>
      <c r="D13" s="13" t="s">
        <v>43</v>
      </c>
      <c r="E13" s="14" t="s">
        <v>44</v>
      </c>
      <c r="I13" t="s">
        <v>50</v>
      </c>
      <c r="J13">
        <f t="shared" si="0"/>
        <v>18</v>
      </c>
    </row>
    <row r="14" spans="1:10">
      <c r="B14" s="33" t="s">
        <v>150</v>
      </c>
      <c r="C14" s="34"/>
      <c r="D14" s="34"/>
      <c r="E14" s="35"/>
      <c r="I14" t="s">
        <v>142</v>
      </c>
      <c r="J14">
        <f t="shared" si="0"/>
        <v>51</v>
      </c>
    </row>
    <row r="15" spans="1:10" ht="15.75" thickBot="1">
      <c r="B15" s="15" t="s">
        <v>45</v>
      </c>
      <c r="C15" s="16" t="s">
        <v>46</v>
      </c>
      <c r="D15" s="16" t="s">
        <v>9</v>
      </c>
      <c r="E15" s="17" t="s">
        <v>9</v>
      </c>
      <c r="I15" t="s">
        <v>143</v>
      </c>
      <c r="J15">
        <f t="shared" si="0"/>
        <v>52</v>
      </c>
    </row>
    <row r="16" spans="1:10" ht="16.5" thickTop="1" thickBot="1">
      <c r="B16" s="21" t="s">
        <v>0</v>
      </c>
      <c r="C16" s="22" t="s">
        <v>1</v>
      </c>
      <c r="D16" s="22" t="s">
        <v>2</v>
      </c>
      <c r="E16" s="23" t="s">
        <v>3</v>
      </c>
      <c r="I16" t="s">
        <v>5</v>
      </c>
      <c r="J16">
        <f t="shared" si="0"/>
        <v>5</v>
      </c>
    </row>
    <row r="17" spans="2:10" ht="45.75" thickTop="1">
      <c r="B17" s="25" t="s">
        <v>47</v>
      </c>
      <c r="C17" s="26" t="s">
        <v>48</v>
      </c>
      <c r="D17" s="27" t="s">
        <v>130</v>
      </c>
      <c r="E17" s="28" t="s">
        <v>131</v>
      </c>
      <c r="I17" t="s">
        <v>144</v>
      </c>
      <c r="J17">
        <f t="shared" si="0"/>
        <v>62</v>
      </c>
    </row>
    <row r="18" spans="2:10">
      <c r="B18" s="12" t="s">
        <v>50</v>
      </c>
      <c r="C18" s="13" t="s">
        <v>51</v>
      </c>
      <c r="D18" s="13" t="s">
        <v>47</v>
      </c>
      <c r="E18" s="14" t="s">
        <v>52</v>
      </c>
      <c r="I18" t="s">
        <v>145</v>
      </c>
      <c r="J18">
        <f t="shared" si="0"/>
        <v>48</v>
      </c>
    </row>
    <row r="19" spans="2:10">
      <c r="B19" s="12" t="s">
        <v>53</v>
      </c>
      <c r="C19" s="13" t="s">
        <v>54</v>
      </c>
      <c r="D19" s="13" t="s">
        <v>47</v>
      </c>
      <c r="E19" s="14" t="s">
        <v>55</v>
      </c>
      <c r="I19" t="s">
        <v>56</v>
      </c>
      <c r="J19">
        <f t="shared" si="0"/>
        <v>20</v>
      </c>
    </row>
    <row r="20" spans="2:10">
      <c r="B20" s="12" t="s">
        <v>56</v>
      </c>
      <c r="C20" s="13" t="s">
        <v>57</v>
      </c>
      <c r="D20" s="13" t="s">
        <v>47</v>
      </c>
      <c r="E20" s="14" t="s">
        <v>58</v>
      </c>
      <c r="I20" t="s">
        <v>53</v>
      </c>
      <c r="J20">
        <f t="shared" si="0"/>
        <v>19</v>
      </c>
    </row>
    <row r="21" spans="2:10">
      <c r="B21" s="15" t="s">
        <v>59</v>
      </c>
      <c r="C21" s="16" t="s">
        <v>60</v>
      </c>
      <c r="D21" s="16" t="s">
        <v>47</v>
      </c>
      <c r="E21" s="17" t="s">
        <v>61</v>
      </c>
      <c r="I21" t="s">
        <v>29</v>
      </c>
      <c r="J21">
        <f t="shared" si="0"/>
        <v>10</v>
      </c>
    </row>
    <row r="22" spans="2:10">
      <c r="B22" s="9" t="s">
        <v>33</v>
      </c>
      <c r="C22" s="10" t="s">
        <v>62</v>
      </c>
      <c r="D22" s="10" t="s">
        <v>47</v>
      </c>
      <c r="E22" s="11" t="s">
        <v>63</v>
      </c>
      <c r="I22" t="s">
        <v>4</v>
      </c>
      <c r="J22">
        <f t="shared" si="0"/>
        <v>3</v>
      </c>
    </row>
    <row r="23" spans="2:10">
      <c r="B23" s="12" t="s">
        <v>39</v>
      </c>
      <c r="C23" s="13" t="s">
        <v>64</v>
      </c>
      <c r="D23" s="13" t="s">
        <v>47</v>
      </c>
      <c r="E23" s="14" t="s">
        <v>63</v>
      </c>
      <c r="I23" t="s">
        <v>10</v>
      </c>
      <c r="J23">
        <f t="shared" si="0"/>
        <v>4</v>
      </c>
    </row>
    <row r="24" spans="2:10" ht="15.75" thickBot="1">
      <c r="B24" s="12" t="s">
        <v>43</v>
      </c>
      <c r="C24" s="13" t="s">
        <v>65</v>
      </c>
      <c r="D24" s="13" t="s">
        <v>47</v>
      </c>
      <c r="E24" s="14" t="s">
        <v>63</v>
      </c>
      <c r="F24" t="e">
        <f>MATCH(#REF!,B:B,0)</f>
        <v>#REF!</v>
      </c>
    </row>
    <row r="25" spans="2:10" ht="16.5" thickTop="1" thickBot="1">
      <c r="B25" s="21" t="s">
        <v>0</v>
      </c>
      <c r="C25" s="22" t="s">
        <v>1</v>
      </c>
      <c r="D25" s="22" t="s">
        <v>2</v>
      </c>
      <c r="E25" s="23" t="s">
        <v>3</v>
      </c>
      <c r="I25" t="s">
        <v>147</v>
      </c>
      <c r="J25">
        <f t="shared" ref="J25:J52" si="1">MATCH(I25,B:B,0)</f>
        <v>47</v>
      </c>
    </row>
    <row r="26" spans="2:10" ht="15.75" thickTop="1">
      <c r="B26" s="12" t="s">
        <v>18</v>
      </c>
      <c r="C26" s="13" t="s">
        <v>66</v>
      </c>
      <c r="D26" s="13" t="s">
        <v>67</v>
      </c>
      <c r="E26" s="14" t="s">
        <v>68</v>
      </c>
      <c r="G26" t="s">
        <v>91</v>
      </c>
      <c r="I26" t="s">
        <v>148</v>
      </c>
      <c r="J26">
        <f t="shared" si="1"/>
        <v>49</v>
      </c>
    </row>
    <row r="27" spans="2:10">
      <c r="B27" s="12" t="s">
        <v>69</v>
      </c>
      <c r="C27" s="13" t="s">
        <v>70</v>
      </c>
      <c r="D27" s="13" t="s">
        <v>18</v>
      </c>
      <c r="E27" s="14" t="s">
        <v>19</v>
      </c>
      <c r="I27" t="s">
        <v>149</v>
      </c>
      <c r="J27">
        <f t="shared" si="1"/>
        <v>55</v>
      </c>
    </row>
    <row r="28" spans="2:10">
      <c r="B28" s="12" t="s">
        <v>71</v>
      </c>
      <c r="C28" s="13" t="s">
        <v>72</v>
      </c>
      <c r="D28" s="13" t="s">
        <v>73</v>
      </c>
      <c r="E28" s="14" t="s">
        <v>74</v>
      </c>
      <c r="G28" t="s">
        <v>92</v>
      </c>
      <c r="I28" t="s">
        <v>6</v>
      </c>
      <c r="J28">
        <f t="shared" si="1"/>
        <v>6</v>
      </c>
    </row>
    <row r="29" spans="2:10">
      <c r="B29" s="12" t="s">
        <v>75</v>
      </c>
      <c r="C29" s="13" t="s">
        <v>76</v>
      </c>
      <c r="D29" s="13" t="s">
        <v>71</v>
      </c>
      <c r="E29" s="14" t="s">
        <v>74</v>
      </c>
      <c r="G29" t="s">
        <v>93</v>
      </c>
      <c r="I29" t="s">
        <v>71</v>
      </c>
      <c r="J29">
        <f t="shared" si="1"/>
        <v>28</v>
      </c>
    </row>
    <row r="30" spans="2:10" ht="15.75" thickBot="1">
      <c r="B30" s="12" t="s">
        <v>77</v>
      </c>
      <c r="C30" s="13" t="s">
        <v>78</v>
      </c>
      <c r="D30" s="13" t="s">
        <v>79</v>
      </c>
      <c r="E30" s="14" t="s">
        <v>80</v>
      </c>
      <c r="G30" s="1" t="s">
        <v>104</v>
      </c>
      <c r="I30" t="s">
        <v>75</v>
      </c>
      <c r="J30">
        <f t="shared" si="1"/>
        <v>29</v>
      </c>
    </row>
    <row r="31" spans="2:10" ht="16.5" thickTop="1" thickBot="1">
      <c r="B31" s="21" t="s">
        <v>0</v>
      </c>
      <c r="C31" s="22" t="s">
        <v>1</v>
      </c>
      <c r="D31" s="22" t="s">
        <v>2</v>
      </c>
      <c r="E31" s="23" t="s">
        <v>3</v>
      </c>
      <c r="G31" s="1" t="s">
        <v>105</v>
      </c>
      <c r="I31" t="s">
        <v>59</v>
      </c>
      <c r="J31">
        <f t="shared" si="1"/>
        <v>21</v>
      </c>
    </row>
    <row r="32" spans="2:10" ht="15.75" thickTop="1">
      <c r="B32" s="12" t="s">
        <v>81</v>
      </c>
      <c r="C32" s="13" t="s">
        <v>82</v>
      </c>
      <c r="D32" s="13" t="s">
        <v>9</v>
      </c>
      <c r="E32" s="14" t="s">
        <v>9</v>
      </c>
      <c r="G32" t="s">
        <v>94</v>
      </c>
      <c r="I32" t="s">
        <v>47</v>
      </c>
      <c r="J32">
        <f t="shared" si="1"/>
        <v>17</v>
      </c>
    </row>
    <row r="33" spans="2:10">
      <c r="B33" s="12" t="s">
        <v>83</v>
      </c>
      <c r="C33" s="13" t="s">
        <v>84</v>
      </c>
      <c r="D33" s="13" t="s">
        <v>81</v>
      </c>
      <c r="E33" s="14" t="s">
        <v>85</v>
      </c>
      <c r="G33" t="s">
        <v>95</v>
      </c>
      <c r="I33" t="s">
        <v>31</v>
      </c>
      <c r="J33">
        <f t="shared" si="1"/>
        <v>11</v>
      </c>
    </row>
    <row r="34" spans="2:10" ht="30">
      <c r="B34" s="30" t="s">
        <v>86</v>
      </c>
      <c r="C34" s="29" t="s">
        <v>132</v>
      </c>
      <c r="D34" s="31" t="s">
        <v>81</v>
      </c>
      <c r="E34" s="32" t="s">
        <v>85</v>
      </c>
      <c r="I34" t="s">
        <v>33</v>
      </c>
      <c r="J34">
        <f t="shared" si="1"/>
        <v>22</v>
      </c>
    </row>
    <row r="35" spans="2:10">
      <c r="B35" s="12" t="s">
        <v>87</v>
      </c>
      <c r="C35" s="13" t="s">
        <v>88</v>
      </c>
      <c r="D35" s="13" t="s">
        <v>81</v>
      </c>
      <c r="E35" s="14" t="s">
        <v>85</v>
      </c>
      <c r="G35" t="s">
        <v>96</v>
      </c>
      <c r="I35" t="s">
        <v>35</v>
      </c>
      <c r="J35" t="e">
        <f t="shared" si="1"/>
        <v>#N/A</v>
      </c>
    </row>
    <row r="36" spans="2:10" ht="15.75" thickBot="1">
      <c r="B36" s="12" t="s">
        <v>89</v>
      </c>
      <c r="C36" s="13" t="s">
        <v>90</v>
      </c>
      <c r="D36" s="13" t="s">
        <v>81</v>
      </c>
      <c r="E36" s="14" t="s">
        <v>85</v>
      </c>
      <c r="G36" t="s">
        <v>97</v>
      </c>
      <c r="I36" t="s">
        <v>36</v>
      </c>
      <c r="J36" t="e">
        <f t="shared" si="1"/>
        <v>#N/A</v>
      </c>
    </row>
    <row r="37" spans="2:10" ht="16.5" thickTop="1" thickBot="1">
      <c r="B37" s="21" t="s">
        <v>0</v>
      </c>
      <c r="C37" s="22" t="s">
        <v>1</v>
      </c>
      <c r="D37" s="22" t="s">
        <v>2</v>
      </c>
      <c r="E37" s="23" t="s">
        <v>3</v>
      </c>
      <c r="G37" t="s">
        <v>98</v>
      </c>
      <c r="I37" t="s">
        <v>37</v>
      </c>
      <c r="J37">
        <f t="shared" si="1"/>
        <v>12</v>
      </c>
    </row>
    <row r="38" spans="2:10" ht="30.75" thickTop="1">
      <c r="B38" s="30" t="s">
        <v>133</v>
      </c>
      <c r="C38" s="31" t="s">
        <v>152</v>
      </c>
      <c r="D38" s="38" t="s">
        <v>153</v>
      </c>
      <c r="E38" s="37" t="s">
        <v>154</v>
      </c>
      <c r="I38" t="s">
        <v>39</v>
      </c>
      <c r="J38">
        <f t="shared" si="1"/>
        <v>23</v>
      </c>
    </row>
    <row r="39" spans="2:10" ht="30">
      <c r="B39" s="30" t="s">
        <v>136</v>
      </c>
      <c r="C39" s="31" t="s">
        <v>155</v>
      </c>
      <c r="D39" s="29" t="s">
        <v>160</v>
      </c>
      <c r="E39" s="37" t="s">
        <v>161</v>
      </c>
      <c r="G39" t="s">
        <v>99</v>
      </c>
      <c r="I39" t="s">
        <v>41</v>
      </c>
      <c r="J39">
        <f t="shared" si="1"/>
        <v>13</v>
      </c>
    </row>
    <row r="40" spans="2:10">
      <c r="B40" s="12" t="s">
        <v>137</v>
      </c>
      <c r="C40" s="13" t="s">
        <v>156</v>
      </c>
      <c r="D40" s="13" t="s">
        <v>136</v>
      </c>
      <c r="E40" s="14" t="s">
        <v>157</v>
      </c>
      <c r="I40" t="s">
        <v>43</v>
      </c>
      <c r="J40">
        <f t="shared" si="1"/>
        <v>24</v>
      </c>
    </row>
    <row r="41" spans="2:10" ht="15.75" thickBot="1">
      <c r="B41" s="12" t="s">
        <v>138</v>
      </c>
      <c r="C41" s="13" t="s">
        <v>158</v>
      </c>
      <c r="D41" s="13" t="s">
        <v>136</v>
      </c>
      <c r="E41" s="14" t="s">
        <v>159</v>
      </c>
      <c r="G41" t="s">
        <v>100</v>
      </c>
      <c r="I41" t="s">
        <v>150</v>
      </c>
      <c r="J41">
        <f t="shared" si="1"/>
        <v>14</v>
      </c>
    </row>
    <row r="42" spans="2:10" ht="16.5" thickTop="1" thickBot="1">
      <c r="B42" s="21" t="s">
        <v>0</v>
      </c>
      <c r="C42" s="22" t="s">
        <v>1</v>
      </c>
      <c r="D42" s="22" t="s">
        <v>2</v>
      </c>
      <c r="E42" s="23" t="s">
        <v>3</v>
      </c>
      <c r="G42" t="s">
        <v>101</v>
      </c>
      <c r="I42" t="s">
        <v>89</v>
      </c>
      <c r="J42">
        <f t="shared" si="1"/>
        <v>36</v>
      </c>
    </row>
    <row r="43" spans="2:10" ht="30.75" thickTop="1">
      <c r="B43" s="30" t="s">
        <v>139</v>
      </c>
      <c r="C43" s="31" t="s">
        <v>162</v>
      </c>
      <c r="D43" s="38" t="s">
        <v>163</v>
      </c>
      <c r="E43" s="39" t="s">
        <v>164</v>
      </c>
      <c r="I43" t="s">
        <v>83</v>
      </c>
      <c r="J43">
        <f t="shared" si="1"/>
        <v>33</v>
      </c>
    </row>
    <row r="44" spans="2:10">
      <c r="B44" s="30" t="s">
        <v>140</v>
      </c>
      <c r="C44" s="31" t="s">
        <v>165</v>
      </c>
      <c r="D44" s="29" t="s">
        <v>166</v>
      </c>
      <c r="E44" s="37" t="s">
        <v>167</v>
      </c>
      <c r="G44" t="s">
        <v>102</v>
      </c>
      <c r="I44" t="s">
        <v>86</v>
      </c>
      <c r="J44">
        <f t="shared" si="1"/>
        <v>34</v>
      </c>
    </row>
    <row r="45" spans="2:10">
      <c r="B45" s="12" t="s">
        <v>141</v>
      </c>
      <c r="C45" s="13" t="s">
        <v>168</v>
      </c>
      <c r="D45" s="13" t="s">
        <v>169</v>
      </c>
      <c r="E45" s="14" t="s">
        <v>170</v>
      </c>
      <c r="G45" t="s">
        <v>103</v>
      </c>
      <c r="I45" t="s">
        <v>87</v>
      </c>
      <c r="J45">
        <f t="shared" si="1"/>
        <v>35</v>
      </c>
    </row>
    <row r="46" spans="2:10">
      <c r="B46" s="12" t="s">
        <v>151</v>
      </c>
      <c r="C46" s="13" t="s">
        <v>171</v>
      </c>
      <c r="D46" s="13" t="s">
        <v>172</v>
      </c>
      <c r="E46" s="14" t="s">
        <v>173</v>
      </c>
      <c r="I46" t="s">
        <v>81</v>
      </c>
      <c r="J46">
        <f t="shared" si="1"/>
        <v>32</v>
      </c>
    </row>
    <row r="47" spans="2:10">
      <c r="B47" s="12" t="s">
        <v>147</v>
      </c>
      <c r="C47" s="13" t="s">
        <v>174</v>
      </c>
      <c r="D47" s="13" t="s">
        <v>9</v>
      </c>
      <c r="E47" s="14" t="s">
        <v>9</v>
      </c>
      <c r="I47" t="s">
        <v>45</v>
      </c>
      <c r="J47">
        <f t="shared" si="1"/>
        <v>15</v>
      </c>
    </row>
    <row r="48" spans="2:10">
      <c r="B48" s="12" t="s">
        <v>145</v>
      </c>
      <c r="C48" s="13" t="s">
        <v>175</v>
      </c>
      <c r="D48" s="13" t="s">
        <v>176</v>
      </c>
      <c r="E48" s="14" t="s">
        <v>177</v>
      </c>
      <c r="G48" s="2" t="s">
        <v>106</v>
      </c>
      <c r="I48" t="s">
        <v>7</v>
      </c>
      <c r="J48">
        <f t="shared" si="1"/>
        <v>7</v>
      </c>
    </row>
    <row r="49" spans="2:10" ht="15.75" thickBot="1">
      <c r="B49" s="12" t="s">
        <v>148</v>
      </c>
      <c r="C49" s="13" t="s">
        <v>178</v>
      </c>
      <c r="D49" s="13" t="s">
        <v>179</v>
      </c>
      <c r="E49" s="14" t="s">
        <v>180</v>
      </c>
      <c r="G49" s="2"/>
      <c r="I49" t="s">
        <v>69</v>
      </c>
      <c r="J49">
        <f t="shared" si="1"/>
        <v>27</v>
      </c>
    </row>
    <row r="50" spans="2:10" ht="16.5" thickTop="1" thickBot="1">
      <c r="B50" s="21" t="s">
        <v>0</v>
      </c>
      <c r="C50" s="22" t="s">
        <v>1</v>
      </c>
      <c r="D50" s="22" t="s">
        <v>2</v>
      </c>
      <c r="E50" s="23" t="s">
        <v>3</v>
      </c>
      <c r="G50" s="2" t="s">
        <v>107</v>
      </c>
      <c r="I50" t="s">
        <v>77</v>
      </c>
      <c r="J50">
        <f t="shared" si="1"/>
        <v>30</v>
      </c>
    </row>
    <row r="51" spans="2:10" ht="30.75" thickTop="1">
      <c r="B51" s="30" t="s">
        <v>142</v>
      </c>
      <c r="C51" s="38" t="s">
        <v>181</v>
      </c>
      <c r="D51" s="38" t="s">
        <v>39</v>
      </c>
      <c r="E51" s="39" t="s">
        <v>39</v>
      </c>
      <c r="G51" s="24" t="s">
        <v>121</v>
      </c>
      <c r="I51" t="s">
        <v>18</v>
      </c>
      <c r="J51">
        <f t="shared" si="1"/>
        <v>26</v>
      </c>
    </row>
    <row r="52" spans="2:10" ht="30.75" thickBot="1">
      <c r="B52" s="30" t="s">
        <v>143</v>
      </c>
      <c r="C52" s="38" t="s">
        <v>182</v>
      </c>
      <c r="D52" s="29" t="s">
        <v>43</v>
      </c>
      <c r="E52" s="37" t="s">
        <v>183</v>
      </c>
      <c r="G52" s="24" t="s">
        <v>122</v>
      </c>
      <c r="I52" t="s">
        <v>151</v>
      </c>
      <c r="J52">
        <f t="shared" si="1"/>
        <v>46</v>
      </c>
    </row>
    <row r="53" spans="2:10" ht="16.5" thickTop="1" thickBot="1">
      <c r="B53" s="21" t="s">
        <v>0</v>
      </c>
      <c r="C53" s="22" t="s">
        <v>1</v>
      </c>
      <c r="D53" s="22" t="s">
        <v>2</v>
      </c>
      <c r="E53" s="23" t="s">
        <v>3</v>
      </c>
      <c r="G53" s="2"/>
    </row>
    <row r="54" spans="2:10" ht="30.75" thickTop="1">
      <c r="B54" s="30" t="s">
        <v>134</v>
      </c>
      <c r="C54" s="38" t="s">
        <v>184</v>
      </c>
      <c r="D54" s="38" t="s">
        <v>18</v>
      </c>
      <c r="E54" s="39" t="s">
        <v>28</v>
      </c>
      <c r="G54" s="2" t="s">
        <v>108</v>
      </c>
    </row>
    <row r="55" spans="2:10" ht="30">
      <c r="B55" s="30" t="s">
        <v>149</v>
      </c>
      <c r="C55" s="38" t="s">
        <v>185</v>
      </c>
      <c r="D55" s="38" t="s">
        <v>79</v>
      </c>
      <c r="E55" s="39" t="s">
        <v>186</v>
      </c>
      <c r="G55" s="2" t="s">
        <v>109</v>
      </c>
    </row>
    <row r="56" spans="2:10">
      <c r="G56" s="2"/>
    </row>
    <row r="57" spans="2:10">
      <c r="G57" s="2" t="s">
        <v>110</v>
      </c>
    </row>
    <row r="58" spans="2:10">
      <c r="G58" s="24" t="s">
        <v>123</v>
      </c>
    </row>
    <row r="59" spans="2:10">
      <c r="G59" s="2" t="s">
        <v>111</v>
      </c>
    </row>
    <row r="60" spans="2:10">
      <c r="G60" s="2"/>
    </row>
    <row r="61" spans="2:10">
      <c r="B61" t="s">
        <v>135</v>
      </c>
      <c r="G61" s="2" t="s">
        <v>112</v>
      </c>
    </row>
    <row r="62" spans="2:10">
      <c r="B62" t="s">
        <v>144</v>
      </c>
      <c r="G62" s="2" t="s">
        <v>113</v>
      </c>
    </row>
    <row r="63" spans="2:10">
      <c r="B63" t="s">
        <v>146</v>
      </c>
      <c r="G63" s="2" t="s">
        <v>114</v>
      </c>
    </row>
    <row r="64" spans="2:10">
      <c r="G64" s="2" t="s">
        <v>115</v>
      </c>
    </row>
    <row r="65" spans="2:7">
      <c r="G65" s="2"/>
    </row>
    <row r="66" spans="2:7">
      <c r="G66" s="2" t="s">
        <v>116</v>
      </c>
    </row>
    <row r="67" spans="2:7">
      <c r="G67" s="2" t="s">
        <v>117</v>
      </c>
    </row>
    <row r="68" spans="2:7">
      <c r="G68" s="2" t="s">
        <v>118</v>
      </c>
    </row>
    <row r="69" spans="2:7">
      <c r="G69" s="24" t="s">
        <v>124</v>
      </c>
    </row>
    <row r="70" spans="2:7">
      <c r="B70" s="36"/>
      <c r="G70" s="2"/>
    </row>
    <row r="71" spans="2:7">
      <c r="B71" s="36"/>
      <c r="G71" s="2" t="s">
        <v>119</v>
      </c>
    </row>
    <row r="72" spans="2:7">
      <c r="B72" s="36"/>
      <c r="G72" s="24" t="s">
        <v>125</v>
      </c>
    </row>
    <row r="73" spans="2:7">
      <c r="B73" s="36"/>
      <c r="G73" s="24" t="s">
        <v>126</v>
      </c>
    </row>
    <row r="74" spans="2:7">
      <c r="B74" s="36"/>
      <c r="G74" s="2" t="s">
        <v>120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7C0B-7D6A-4625-AEAB-6D13DCACDC14}">
  <dimension ref="A1:D54"/>
  <sheetViews>
    <sheetView workbookViewId="0">
      <selection activeCell="A16" sqref="A16"/>
    </sheetView>
  </sheetViews>
  <sheetFormatPr defaultRowHeight="15"/>
  <cols>
    <col min="1" max="1" width="27" bestFit="1" customWidth="1"/>
    <col min="2" max="2" width="67.5703125" bestFit="1" customWidth="1"/>
    <col min="3" max="3" width="40.7109375" customWidth="1"/>
    <col min="4" max="4" width="51.7109375" bestFit="1" customWidth="1"/>
  </cols>
  <sheetData>
    <row r="1" spans="1:4">
      <c r="A1" t="s">
        <v>467</v>
      </c>
      <c r="B1" t="s">
        <v>1</v>
      </c>
      <c r="C1" t="s">
        <v>468</v>
      </c>
      <c r="D1" t="s">
        <v>3</v>
      </c>
    </row>
    <row r="2" spans="1:4">
      <c r="A2" t="s">
        <v>4</v>
      </c>
      <c r="B2" t="s">
        <v>8</v>
      </c>
      <c r="C2" t="s">
        <v>9</v>
      </c>
      <c r="D2" t="s">
        <v>9</v>
      </c>
    </row>
    <row r="3" spans="1:4">
      <c r="A3" t="s">
        <v>10</v>
      </c>
      <c r="B3" t="s">
        <v>11</v>
      </c>
      <c r="C3" t="s">
        <v>9</v>
      </c>
      <c r="D3" t="s">
        <v>9</v>
      </c>
    </row>
    <row r="4" spans="1:4">
      <c r="A4" t="s">
        <v>5</v>
      </c>
      <c r="B4" t="s">
        <v>469</v>
      </c>
      <c r="C4" t="s">
        <v>6</v>
      </c>
      <c r="D4" t="s">
        <v>13</v>
      </c>
    </row>
    <row r="5" spans="1:4">
      <c r="A5" t="s">
        <v>6</v>
      </c>
      <c r="B5" t="s">
        <v>470</v>
      </c>
      <c r="C5" t="s">
        <v>471</v>
      </c>
      <c r="D5" t="s">
        <v>472</v>
      </c>
    </row>
    <row r="6" spans="1:4">
      <c r="A6" t="s">
        <v>7</v>
      </c>
      <c r="B6" t="s">
        <v>17</v>
      </c>
      <c r="C6" t="s">
        <v>473</v>
      </c>
      <c r="D6" t="s">
        <v>474</v>
      </c>
    </row>
    <row r="8" spans="1:4">
      <c r="A8" t="s">
        <v>25</v>
      </c>
      <c r="B8" t="s">
        <v>475</v>
      </c>
      <c r="C8" t="s">
        <v>27</v>
      </c>
      <c r="D8" t="s">
        <v>28</v>
      </c>
    </row>
    <row r="9" spans="1:4">
      <c r="A9" t="s">
        <v>29</v>
      </c>
      <c r="B9" t="s">
        <v>476</v>
      </c>
      <c r="C9" t="s">
        <v>9</v>
      </c>
      <c r="D9" t="s">
        <v>9</v>
      </c>
    </row>
    <row r="10" spans="1:4">
      <c r="A10" t="s">
        <v>31</v>
      </c>
      <c r="B10" t="s">
        <v>32</v>
      </c>
      <c r="C10" t="s">
        <v>33</v>
      </c>
      <c r="D10" t="s">
        <v>34</v>
      </c>
    </row>
    <row r="11" spans="1:4">
      <c r="A11" t="s">
        <v>37</v>
      </c>
      <c r="B11" t="s">
        <v>38</v>
      </c>
      <c r="C11" t="s">
        <v>39</v>
      </c>
      <c r="D11" t="s">
        <v>40</v>
      </c>
    </row>
    <row r="12" spans="1:4">
      <c r="A12" t="s">
        <v>41</v>
      </c>
      <c r="B12" t="s">
        <v>42</v>
      </c>
      <c r="C12" t="s">
        <v>43</v>
      </c>
      <c r="D12" t="s">
        <v>44</v>
      </c>
    </row>
    <row r="13" spans="1:4">
      <c r="A13" t="s">
        <v>150</v>
      </c>
      <c r="B13" t="s">
        <v>477</v>
      </c>
      <c r="C13" t="s">
        <v>89</v>
      </c>
      <c r="D13" t="s">
        <v>478</v>
      </c>
    </row>
    <row r="14" spans="1:4">
      <c r="A14" t="s">
        <v>45</v>
      </c>
      <c r="B14" t="s">
        <v>479</v>
      </c>
      <c r="C14" t="s">
        <v>9</v>
      </c>
      <c r="D14" t="s">
        <v>9</v>
      </c>
    </row>
    <row r="16" spans="1:4">
      <c r="A16" t="s">
        <v>47</v>
      </c>
      <c r="B16" t="s">
        <v>48</v>
      </c>
      <c r="C16" t="s">
        <v>480</v>
      </c>
      <c r="D16" t="s">
        <v>481</v>
      </c>
    </row>
    <row r="17" spans="1:4">
      <c r="A17" t="s">
        <v>50</v>
      </c>
      <c r="B17" t="s">
        <v>51</v>
      </c>
      <c r="C17" t="s">
        <v>47</v>
      </c>
      <c r="D17" t="s">
        <v>52</v>
      </c>
    </row>
    <row r="18" spans="1:4">
      <c r="A18" t="s">
        <v>53</v>
      </c>
      <c r="B18" t="s">
        <v>54</v>
      </c>
      <c r="C18" t="s">
        <v>47</v>
      </c>
      <c r="D18" t="s">
        <v>55</v>
      </c>
    </row>
    <row r="19" spans="1:4">
      <c r="A19" t="s">
        <v>56</v>
      </c>
      <c r="B19" t="s">
        <v>57</v>
      </c>
      <c r="C19" t="s">
        <v>47</v>
      </c>
      <c r="D19" t="s">
        <v>58</v>
      </c>
    </row>
    <row r="20" spans="1:4">
      <c r="A20" t="s">
        <v>59</v>
      </c>
      <c r="B20" t="s">
        <v>60</v>
      </c>
      <c r="C20" t="s">
        <v>47</v>
      </c>
      <c r="D20" t="s">
        <v>61</v>
      </c>
    </row>
    <row r="21" spans="1:4">
      <c r="A21" t="s">
        <v>33</v>
      </c>
      <c r="B21" t="s">
        <v>482</v>
      </c>
      <c r="C21" t="s">
        <v>47</v>
      </c>
      <c r="D21" t="s">
        <v>63</v>
      </c>
    </row>
    <row r="22" spans="1:4">
      <c r="A22" t="s">
        <v>39</v>
      </c>
      <c r="B22" t="s">
        <v>483</v>
      </c>
      <c r="C22" t="s">
        <v>47</v>
      </c>
      <c r="D22" t="s">
        <v>63</v>
      </c>
    </row>
    <row r="23" spans="1:4">
      <c r="A23" t="s">
        <v>43</v>
      </c>
      <c r="B23" t="s">
        <v>484</v>
      </c>
      <c r="C23" t="s">
        <v>47</v>
      </c>
      <c r="D23" t="s">
        <v>63</v>
      </c>
    </row>
    <row r="25" spans="1:4">
      <c r="A25" t="s">
        <v>18</v>
      </c>
      <c r="B25" t="s">
        <v>66</v>
      </c>
      <c r="C25" t="s">
        <v>485</v>
      </c>
      <c r="D25" t="s">
        <v>68</v>
      </c>
    </row>
    <row r="26" spans="1:4">
      <c r="A26" t="s">
        <v>69</v>
      </c>
      <c r="B26" t="s">
        <v>70</v>
      </c>
      <c r="C26" t="s">
        <v>18</v>
      </c>
      <c r="D26" t="s">
        <v>19</v>
      </c>
    </row>
    <row r="27" spans="1:4">
      <c r="A27" t="s">
        <v>71</v>
      </c>
      <c r="B27" t="s">
        <v>486</v>
      </c>
      <c r="C27" t="s">
        <v>487</v>
      </c>
      <c r="D27" t="s">
        <v>74</v>
      </c>
    </row>
    <row r="28" spans="1:4">
      <c r="A28" t="s">
        <v>75</v>
      </c>
      <c r="B28" t="s">
        <v>488</v>
      </c>
      <c r="C28" t="s">
        <v>71</v>
      </c>
      <c r="D28" t="s">
        <v>74</v>
      </c>
    </row>
    <row r="29" spans="1:4">
      <c r="A29" t="s">
        <v>77</v>
      </c>
      <c r="B29" t="s">
        <v>78</v>
      </c>
      <c r="C29" t="s">
        <v>489</v>
      </c>
      <c r="D29" t="s">
        <v>490</v>
      </c>
    </row>
    <row r="31" spans="1:4">
      <c r="A31" t="s">
        <v>81</v>
      </c>
      <c r="B31" t="s">
        <v>82</v>
      </c>
      <c r="C31" t="s">
        <v>9</v>
      </c>
      <c r="D31" t="s">
        <v>9</v>
      </c>
    </row>
    <row r="32" spans="1:4">
      <c r="A32" t="s">
        <v>83</v>
      </c>
      <c r="B32" t="s">
        <v>491</v>
      </c>
      <c r="C32" t="s">
        <v>81</v>
      </c>
      <c r="D32" t="s">
        <v>85</v>
      </c>
    </row>
    <row r="33" spans="1:4">
      <c r="A33" t="s">
        <v>86</v>
      </c>
      <c r="B33" t="s">
        <v>492</v>
      </c>
      <c r="C33" t="s">
        <v>81</v>
      </c>
      <c r="D33" t="s">
        <v>85</v>
      </c>
    </row>
    <row r="34" spans="1:4">
      <c r="A34" t="s">
        <v>87</v>
      </c>
      <c r="B34" t="s">
        <v>88</v>
      </c>
      <c r="C34" t="s">
        <v>81</v>
      </c>
      <c r="D34" t="s">
        <v>85</v>
      </c>
    </row>
    <row r="35" spans="1:4">
      <c r="A35" t="s">
        <v>89</v>
      </c>
      <c r="B35" t="s">
        <v>90</v>
      </c>
      <c r="C35" t="s">
        <v>81</v>
      </c>
      <c r="D35" t="s">
        <v>85</v>
      </c>
    </row>
    <row r="37" spans="1:4">
      <c r="A37" t="s">
        <v>133</v>
      </c>
      <c r="B37" t="s">
        <v>493</v>
      </c>
      <c r="C37" t="s">
        <v>494</v>
      </c>
      <c r="D37" t="s">
        <v>215</v>
      </c>
    </row>
    <row r="38" spans="1:4">
      <c r="A38" t="s">
        <v>136</v>
      </c>
      <c r="B38" t="s">
        <v>495</v>
      </c>
      <c r="C38" t="s">
        <v>496</v>
      </c>
      <c r="D38" t="s">
        <v>497</v>
      </c>
    </row>
    <row r="39" spans="1:4">
      <c r="A39" t="s">
        <v>137</v>
      </c>
      <c r="B39" t="s">
        <v>498</v>
      </c>
      <c r="C39" t="s">
        <v>136</v>
      </c>
      <c r="D39" t="s">
        <v>157</v>
      </c>
    </row>
    <row r="40" spans="1:4">
      <c r="A40" t="s">
        <v>138</v>
      </c>
      <c r="B40" t="s">
        <v>499</v>
      </c>
      <c r="C40" t="s">
        <v>136</v>
      </c>
      <c r="D40" t="s">
        <v>159</v>
      </c>
    </row>
    <row r="42" spans="1:4">
      <c r="A42" t="s">
        <v>139</v>
      </c>
      <c r="B42" t="s">
        <v>500</v>
      </c>
      <c r="C42" t="s">
        <v>501</v>
      </c>
      <c r="D42" t="s">
        <v>164</v>
      </c>
    </row>
    <row r="43" spans="1:4">
      <c r="A43" t="s">
        <v>140</v>
      </c>
      <c r="B43" t="s">
        <v>502</v>
      </c>
      <c r="C43" t="s">
        <v>503</v>
      </c>
      <c r="D43" t="s">
        <v>504</v>
      </c>
    </row>
    <row r="44" spans="1:4">
      <c r="A44" t="s">
        <v>141</v>
      </c>
      <c r="B44" t="s">
        <v>505</v>
      </c>
      <c r="C44" t="s">
        <v>506</v>
      </c>
      <c r="D44" t="s">
        <v>507</v>
      </c>
    </row>
    <row r="45" spans="1:4">
      <c r="A45" t="s">
        <v>151</v>
      </c>
      <c r="B45" t="s">
        <v>508</v>
      </c>
      <c r="C45" t="s">
        <v>141</v>
      </c>
      <c r="D45" t="s">
        <v>226</v>
      </c>
    </row>
    <row r="46" spans="1:4">
      <c r="A46" t="s">
        <v>147</v>
      </c>
      <c r="B46" t="s">
        <v>509</v>
      </c>
      <c r="C46" t="s">
        <v>9</v>
      </c>
      <c r="D46" t="s">
        <v>9</v>
      </c>
    </row>
    <row r="47" spans="1:4">
      <c r="A47" t="s">
        <v>145</v>
      </c>
      <c r="B47" t="s">
        <v>510</v>
      </c>
      <c r="C47" t="s">
        <v>511</v>
      </c>
      <c r="D47" t="s">
        <v>177</v>
      </c>
    </row>
    <row r="48" spans="1:4">
      <c r="A48" t="s">
        <v>148</v>
      </c>
      <c r="B48" t="s">
        <v>512</v>
      </c>
      <c r="C48" t="s">
        <v>463</v>
      </c>
      <c r="D48" t="s">
        <v>180</v>
      </c>
    </row>
    <row r="50" spans="1:4">
      <c r="A50" t="s">
        <v>142</v>
      </c>
      <c r="B50" t="s">
        <v>513</v>
      </c>
      <c r="C50" t="s">
        <v>39</v>
      </c>
      <c r="D50" t="s">
        <v>220</v>
      </c>
    </row>
    <row r="51" spans="1:4">
      <c r="A51" t="s">
        <v>143</v>
      </c>
      <c r="B51" t="s">
        <v>514</v>
      </c>
      <c r="C51" t="s">
        <v>43</v>
      </c>
      <c r="D51" t="s">
        <v>183</v>
      </c>
    </row>
    <row r="53" spans="1:4">
      <c r="A53" t="s">
        <v>134</v>
      </c>
      <c r="B53" t="s">
        <v>515</v>
      </c>
      <c r="C53" t="s">
        <v>18</v>
      </c>
      <c r="D53" t="s">
        <v>28</v>
      </c>
    </row>
    <row r="54" spans="1:4">
      <c r="A54" t="s">
        <v>149</v>
      </c>
      <c r="B54" t="s">
        <v>516</v>
      </c>
      <c r="C54" t="s">
        <v>489</v>
      </c>
      <c r="D54" t="s">
        <v>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66FA-9DDB-45CA-B6E9-0E2AA778D59E}">
  <dimension ref="A1:T38"/>
  <sheetViews>
    <sheetView showGridLines="0" showRowColHeaders="0" tabSelected="1" zoomScale="80" zoomScaleNormal="80" workbookViewId="0">
      <selection activeCell="B3" sqref="B3:B23"/>
    </sheetView>
  </sheetViews>
  <sheetFormatPr defaultRowHeight="15"/>
  <cols>
    <col min="2" max="2" width="20.28515625" bestFit="1" customWidth="1"/>
    <col min="4" max="4" width="20.42578125" bestFit="1" customWidth="1"/>
    <col min="5" max="5" width="0.85546875" customWidth="1"/>
    <col min="6" max="6" width="15.5703125" bestFit="1" customWidth="1"/>
    <col min="7" max="7" width="0.85546875" customWidth="1"/>
    <col min="8" max="8" width="15" bestFit="1" customWidth="1"/>
    <col min="9" max="9" width="0.85546875" style="2" customWidth="1"/>
    <col min="10" max="10" width="18.42578125" bestFit="1" customWidth="1"/>
    <col min="11" max="11" width="0.85546875" customWidth="1"/>
    <col min="12" max="12" width="22.7109375" bestFit="1" customWidth="1"/>
    <col min="14" max="14" width="14" customWidth="1"/>
    <col min="15" max="15" width="0.85546875" customWidth="1"/>
    <col min="16" max="16" width="29.42578125" bestFit="1" customWidth="1"/>
    <col min="18" max="18" width="14" bestFit="1" customWidth="1"/>
    <col min="19" max="19" width="0.85546875" customWidth="1"/>
    <col min="20" max="20" width="17.7109375" bestFit="1" customWidth="1"/>
    <col min="32" max="32" width="27" bestFit="1" customWidth="1"/>
  </cols>
  <sheetData>
    <row r="1" spans="1:20" ht="15.75" thickBot="1"/>
    <row r="2" spans="1:20" ht="16.5" thickTop="1" thickBot="1">
      <c r="B2" t="s">
        <v>127</v>
      </c>
      <c r="D2" s="40" t="s">
        <v>47</v>
      </c>
      <c r="F2" s="40" t="s">
        <v>33</v>
      </c>
      <c r="H2" s="40" t="s">
        <v>53</v>
      </c>
      <c r="J2" s="40" t="s">
        <v>56</v>
      </c>
      <c r="L2" s="40" t="s">
        <v>39</v>
      </c>
      <c r="N2" s="40" t="s">
        <v>139</v>
      </c>
      <c r="R2" s="40" t="s">
        <v>142</v>
      </c>
      <c r="T2" s="40" t="s">
        <v>143</v>
      </c>
    </row>
    <row r="3" spans="1:20" ht="15.75" thickTop="1">
      <c r="A3" t="s">
        <v>224</v>
      </c>
      <c r="B3" t="s">
        <v>133</v>
      </c>
      <c r="D3" s="41" t="s">
        <v>187</v>
      </c>
      <c r="F3" s="41" t="s">
        <v>187</v>
      </c>
      <c r="H3" s="41" t="s">
        <v>187</v>
      </c>
      <c r="J3" s="41" t="s">
        <v>187</v>
      </c>
      <c r="L3" s="41" t="s">
        <v>187</v>
      </c>
      <c r="N3" s="41" t="s">
        <v>187</v>
      </c>
      <c r="R3" s="41" t="s">
        <v>187</v>
      </c>
      <c r="T3" s="41" t="s">
        <v>187</v>
      </c>
    </row>
    <row r="4" spans="1:20">
      <c r="A4" t="s">
        <v>224</v>
      </c>
      <c r="B4" t="s">
        <v>139</v>
      </c>
      <c r="D4" s="42" t="s">
        <v>188</v>
      </c>
      <c r="F4" s="42" t="s">
        <v>63</v>
      </c>
      <c r="H4" s="42" t="s">
        <v>192</v>
      </c>
      <c r="J4" s="42" t="s">
        <v>210</v>
      </c>
      <c r="L4" s="42" t="s">
        <v>63</v>
      </c>
      <c r="N4" s="42" t="s">
        <v>210</v>
      </c>
      <c r="R4" s="42" t="s">
        <v>210</v>
      </c>
      <c r="T4" s="42" t="s">
        <v>210</v>
      </c>
    </row>
    <row r="5" spans="1:20">
      <c r="A5" t="s">
        <v>224</v>
      </c>
      <c r="B5" t="s">
        <v>140</v>
      </c>
      <c r="D5" s="42" t="s">
        <v>189</v>
      </c>
      <c r="F5" s="42" t="s">
        <v>215</v>
      </c>
      <c r="H5" s="42" t="s">
        <v>211</v>
      </c>
      <c r="J5" s="42" t="s">
        <v>212</v>
      </c>
      <c r="L5" s="42" t="s">
        <v>220</v>
      </c>
      <c r="N5" s="42" t="s">
        <v>211</v>
      </c>
      <c r="R5" s="42" t="s">
        <v>211</v>
      </c>
      <c r="T5" s="42" t="s">
        <v>211</v>
      </c>
    </row>
    <row r="6" spans="1:20">
      <c r="A6" t="s">
        <v>224</v>
      </c>
      <c r="B6" t="s">
        <v>141</v>
      </c>
      <c r="D6" s="42" t="s">
        <v>190</v>
      </c>
      <c r="F6" s="42" t="s">
        <v>216</v>
      </c>
      <c r="H6" s="42" t="s">
        <v>212</v>
      </c>
      <c r="J6" s="42" t="s">
        <v>218</v>
      </c>
      <c r="L6" s="42" t="s">
        <v>221</v>
      </c>
      <c r="N6" s="42" t="s">
        <v>212</v>
      </c>
      <c r="R6" s="42" t="s">
        <v>212</v>
      </c>
      <c r="T6" s="42" t="s">
        <v>212</v>
      </c>
    </row>
    <row r="7" spans="1:20">
      <c r="A7" t="s">
        <v>224</v>
      </c>
      <c r="B7" t="s">
        <v>50</v>
      </c>
      <c r="D7" s="42" t="s">
        <v>191</v>
      </c>
      <c r="F7" s="42" t="s">
        <v>203</v>
      </c>
      <c r="H7" s="42" t="s">
        <v>208</v>
      </c>
      <c r="J7" s="42" t="s">
        <v>208</v>
      </c>
      <c r="L7" s="42" t="s">
        <v>222</v>
      </c>
      <c r="N7" s="42" t="s">
        <v>208</v>
      </c>
      <c r="R7" s="42" t="s">
        <v>208</v>
      </c>
      <c r="T7" s="42" t="s">
        <v>208</v>
      </c>
    </row>
    <row r="8" spans="1:20" ht="15.75" thickBot="1">
      <c r="A8" t="s">
        <v>224</v>
      </c>
      <c r="B8" t="s">
        <v>142</v>
      </c>
      <c r="D8" s="42" t="s">
        <v>192</v>
      </c>
      <c r="F8" s="42" t="s">
        <v>217</v>
      </c>
      <c r="H8" s="43" t="s">
        <v>209</v>
      </c>
      <c r="J8" s="43" t="s">
        <v>209</v>
      </c>
      <c r="L8" s="42" t="s">
        <v>223</v>
      </c>
      <c r="N8" s="43" t="s">
        <v>209</v>
      </c>
      <c r="R8" s="43" t="s">
        <v>209</v>
      </c>
      <c r="T8" s="43" t="s">
        <v>209</v>
      </c>
    </row>
    <row r="9" spans="1:20" ht="16.5" thickTop="1" thickBot="1">
      <c r="A9" t="s">
        <v>224</v>
      </c>
      <c r="B9" t="s">
        <v>143</v>
      </c>
      <c r="D9" s="42" t="s">
        <v>193</v>
      </c>
      <c r="F9" s="42" t="s">
        <v>208</v>
      </c>
      <c r="L9" s="42" t="s">
        <v>208</v>
      </c>
    </row>
    <row r="10" spans="1:20" ht="16.5" thickTop="1" thickBot="1">
      <c r="A10" t="s">
        <v>224</v>
      </c>
      <c r="B10" t="s">
        <v>56</v>
      </c>
      <c r="D10" s="42" t="s">
        <v>194</v>
      </c>
      <c r="F10" s="43" t="s">
        <v>209</v>
      </c>
      <c r="L10" s="43" t="s">
        <v>209</v>
      </c>
      <c r="T10" s="40" t="s">
        <v>133</v>
      </c>
    </row>
    <row r="11" spans="1:20" ht="16.5" thickTop="1" thickBot="1">
      <c r="A11" t="s">
        <v>224</v>
      </c>
      <c r="B11" t="s">
        <v>53</v>
      </c>
      <c r="D11" s="42" t="s">
        <v>195</v>
      </c>
      <c r="P11" s="40" t="s">
        <v>141</v>
      </c>
      <c r="T11" s="41" t="s">
        <v>187</v>
      </c>
    </row>
    <row r="12" spans="1:20" ht="16.5" thickTop="1" thickBot="1">
      <c r="A12" t="s">
        <v>224</v>
      </c>
      <c r="B12" t="s">
        <v>147</v>
      </c>
      <c r="D12" s="42" t="s">
        <v>196</v>
      </c>
      <c r="F12" s="40" t="s">
        <v>50</v>
      </c>
      <c r="H12" s="40" t="s">
        <v>59</v>
      </c>
      <c r="L12" s="40" t="s">
        <v>31</v>
      </c>
      <c r="P12" s="41" t="s">
        <v>187</v>
      </c>
      <c r="T12" s="42" t="s">
        <v>210</v>
      </c>
    </row>
    <row r="13" spans="1:20" ht="15.75" thickTop="1">
      <c r="A13" t="s">
        <v>224</v>
      </c>
      <c r="B13" t="s">
        <v>148</v>
      </c>
      <c r="D13" s="42" t="s">
        <v>197</v>
      </c>
      <c r="F13" s="41" t="s">
        <v>187</v>
      </c>
      <c r="H13" s="41" t="s">
        <v>187</v>
      </c>
      <c r="L13" s="41" t="s">
        <v>187</v>
      </c>
      <c r="P13" s="42" t="s">
        <v>164</v>
      </c>
      <c r="T13" s="42" t="s">
        <v>211</v>
      </c>
    </row>
    <row r="14" spans="1:20">
      <c r="A14" t="s">
        <v>224</v>
      </c>
      <c r="B14" t="s">
        <v>59</v>
      </c>
      <c r="D14" s="42" t="s">
        <v>198</v>
      </c>
      <c r="F14" s="42" t="s">
        <v>210</v>
      </c>
      <c r="H14" s="42" t="s">
        <v>219</v>
      </c>
      <c r="L14" s="42" t="s">
        <v>34</v>
      </c>
      <c r="P14" s="42" t="s">
        <v>226</v>
      </c>
      <c r="T14" s="42" t="s">
        <v>212</v>
      </c>
    </row>
    <row r="15" spans="1:20" ht="15.75" thickBot="1">
      <c r="A15" t="s">
        <v>224</v>
      </c>
      <c r="B15" t="s">
        <v>47</v>
      </c>
      <c r="D15" s="42" t="s">
        <v>199</v>
      </c>
      <c r="F15" s="42" t="s">
        <v>211</v>
      </c>
      <c r="H15" s="42" t="s">
        <v>210</v>
      </c>
      <c r="L15" s="42" t="s">
        <v>371</v>
      </c>
      <c r="P15" s="42" t="s">
        <v>208</v>
      </c>
      <c r="T15" s="43" t="s">
        <v>431</v>
      </c>
    </row>
    <row r="16" spans="1:20" ht="16.5" thickTop="1" thickBot="1">
      <c r="A16" t="s">
        <v>224</v>
      </c>
      <c r="B16" t="s">
        <v>31</v>
      </c>
      <c r="D16" s="42" t="s">
        <v>200</v>
      </c>
      <c r="F16" s="42" t="s">
        <v>212</v>
      </c>
      <c r="H16" s="42" t="s">
        <v>211</v>
      </c>
      <c r="L16" s="42" t="s">
        <v>373</v>
      </c>
      <c r="P16" s="43" t="s">
        <v>209</v>
      </c>
      <c r="R16" s="40" t="s">
        <v>151</v>
      </c>
    </row>
    <row r="17" spans="1:18" ht="16.5" thickTop="1" thickBot="1">
      <c r="A17" t="s">
        <v>224</v>
      </c>
      <c r="B17" t="s">
        <v>33</v>
      </c>
      <c r="D17" s="42" t="s">
        <v>201</v>
      </c>
      <c r="F17" s="42" t="s">
        <v>213</v>
      </c>
      <c r="H17" s="42" t="s">
        <v>212</v>
      </c>
      <c r="L17" s="42" t="s">
        <v>376</v>
      </c>
      <c r="R17" s="41" t="s">
        <v>187</v>
      </c>
    </row>
    <row r="18" spans="1:18" ht="16.5" thickTop="1" thickBot="1">
      <c r="A18" t="s">
        <v>224</v>
      </c>
      <c r="B18" t="s">
        <v>37</v>
      </c>
      <c r="D18" s="42" t="s">
        <v>202</v>
      </c>
      <c r="F18" s="42" t="s">
        <v>214</v>
      </c>
      <c r="H18" s="42" t="s">
        <v>214</v>
      </c>
      <c r="L18" s="42" t="s">
        <v>380</v>
      </c>
      <c r="N18" s="40" t="s">
        <v>423</v>
      </c>
      <c r="P18" s="40" t="s">
        <v>463</v>
      </c>
      <c r="R18" s="42" t="s">
        <v>210</v>
      </c>
    </row>
    <row r="19" spans="1:18" ht="16.5" thickTop="1" thickBot="1">
      <c r="A19" t="s">
        <v>224</v>
      </c>
      <c r="B19" t="s">
        <v>39</v>
      </c>
      <c r="D19" s="42" t="s">
        <v>203</v>
      </c>
      <c r="F19" s="42" t="s">
        <v>208</v>
      </c>
      <c r="H19" s="42" t="s">
        <v>208</v>
      </c>
      <c r="L19" s="43" t="s">
        <v>382</v>
      </c>
      <c r="N19" s="41" t="s">
        <v>63</v>
      </c>
      <c r="P19" s="41" t="s">
        <v>63</v>
      </c>
      <c r="R19" s="42" t="s">
        <v>211</v>
      </c>
    </row>
    <row r="20" spans="1:18" ht="16.5" thickTop="1" thickBot="1">
      <c r="A20" t="s">
        <v>224</v>
      </c>
      <c r="B20" t="s">
        <v>419</v>
      </c>
      <c r="D20" s="42" t="s">
        <v>366</v>
      </c>
      <c r="F20" s="43" t="s">
        <v>209</v>
      </c>
      <c r="H20" s="43" t="s">
        <v>209</v>
      </c>
      <c r="N20" s="43" t="s">
        <v>228</v>
      </c>
      <c r="P20" s="43" t="s">
        <v>180</v>
      </c>
      <c r="R20" s="42" t="s">
        <v>212</v>
      </c>
    </row>
    <row r="21" spans="1:18" ht="16.5" thickTop="1" thickBot="1">
      <c r="A21" t="s">
        <v>224</v>
      </c>
      <c r="B21" t="s">
        <v>423</v>
      </c>
      <c r="D21" s="42" t="s">
        <v>205</v>
      </c>
      <c r="R21" s="43" t="s">
        <v>459</v>
      </c>
    </row>
    <row r="22" spans="1:18" ht="16.5" thickTop="1" thickBot="1">
      <c r="A22" t="s">
        <v>224</v>
      </c>
      <c r="B22" t="s">
        <v>463</v>
      </c>
      <c r="D22" s="42" t="s">
        <v>55</v>
      </c>
      <c r="F22" s="40" t="s">
        <v>419</v>
      </c>
      <c r="L22" s="40" t="s">
        <v>140</v>
      </c>
    </row>
    <row r="23" spans="1:18" ht="15.75" thickTop="1">
      <c r="A23" t="s">
        <v>224</v>
      </c>
      <c r="B23" t="s">
        <v>151</v>
      </c>
      <c r="D23" s="42" t="s">
        <v>58</v>
      </c>
      <c r="F23" s="41" t="s">
        <v>187</v>
      </c>
      <c r="L23" s="41" t="s">
        <v>164</v>
      </c>
    </row>
    <row r="24" spans="1:18">
      <c r="D24" s="42" t="s">
        <v>52</v>
      </c>
      <c r="F24" s="42" t="s">
        <v>210</v>
      </c>
      <c r="L24" s="42" t="s">
        <v>63</v>
      </c>
    </row>
    <row r="25" spans="1:18" ht="15.75" thickBot="1">
      <c r="D25" s="42" t="s">
        <v>61</v>
      </c>
      <c r="F25" s="42" t="s">
        <v>211</v>
      </c>
      <c r="L25" s="43" t="s">
        <v>225</v>
      </c>
    </row>
    <row r="26" spans="1:18" ht="16.5" thickTop="1" thickBot="1">
      <c r="D26" s="42" t="s">
        <v>206</v>
      </c>
      <c r="F26" s="42" t="s">
        <v>212</v>
      </c>
    </row>
    <row r="27" spans="1:18" ht="16.5" thickTop="1" thickBot="1">
      <c r="D27" s="42" t="s">
        <v>207</v>
      </c>
      <c r="F27" s="42" t="s">
        <v>208</v>
      </c>
      <c r="J27" s="40" t="s">
        <v>147</v>
      </c>
      <c r="L27" s="40" t="s">
        <v>148</v>
      </c>
    </row>
    <row r="28" spans="1:18" ht="16.5" thickTop="1" thickBot="1">
      <c r="D28" s="42" t="s">
        <v>208</v>
      </c>
      <c r="F28" s="43" t="s">
        <v>209</v>
      </c>
      <c r="J28" s="41" t="s">
        <v>187</v>
      </c>
      <c r="L28" s="41" t="s">
        <v>187</v>
      </c>
      <c r="P28" s="40" t="s">
        <v>37</v>
      </c>
    </row>
    <row r="29" spans="1:18" ht="16.5" thickTop="1" thickBot="1">
      <c r="D29" s="43" t="s">
        <v>209</v>
      </c>
      <c r="J29" s="42" t="s">
        <v>210</v>
      </c>
      <c r="L29" s="42" t="s">
        <v>210</v>
      </c>
      <c r="P29" s="41" t="s">
        <v>187</v>
      </c>
    </row>
    <row r="30" spans="1:18" ht="15.75" thickTop="1">
      <c r="J30" s="42" t="s">
        <v>211</v>
      </c>
      <c r="L30" s="42" t="s">
        <v>211</v>
      </c>
      <c r="P30" s="42" t="s">
        <v>40</v>
      </c>
    </row>
    <row r="31" spans="1:18" ht="15.75" thickBot="1">
      <c r="J31" s="42" t="s">
        <v>227</v>
      </c>
      <c r="L31" s="43" t="s">
        <v>212</v>
      </c>
      <c r="P31" s="42" t="s">
        <v>63</v>
      </c>
    </row>
    <row r="32" spans="1:18" ht="15.75" thickTop="1">
      <c r="J32" s="42" t="s">
        <v>61</v>
      </c>
      <c r="P32" s="42" t="s">
        <v>464</v>
      </c>
    </row>
    <row r="33" spans="10:16">
      <c r="J33" s="42" t="s">
        <v>212</v>
      </c>
      <c r="P33" s="42" t="s">
        <v>465</v>
      </c>
    </row>
    <row r="34" spans="10:16">
      <c r="J34" s="42" t="s">
        <v>208</v>
      </c>
      <c r="P34" s="42" t="s">
        <v>466</v>
      </c>
    </row>
    <row r="35" spans="10:16" ht="15.75" thickBot="1">
      <c r="J35" s="43" t="s">
        <v>209</v>
      </c>
      <c r="P35" s="42" t="s">
        <v>376</v>
      </c>
    </row>
    <row r="36" spans="10:16" ht="15.75" thickTop="1">
      <c r="P36" s="42" t="s">
        <v>380</v>
      </c>
    </row>
    <row r="37" spans="10:16" ht="15.75" thickBot="1">
      <c r="P37" s="43" t="s">
        <v>382</v>
      </c>
    </row>
    <row r="38" spans="10:16" ht="15.75" thickTop="1"/>
  </sheetData>
  <sortState xmlns:xlrd2="http://schemas.microsoft.com/office/spreadsheetml/2017/richdata2" ref="A3:B23">
    <sortCondition ref="B3:B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8DE4-738D-4B3C-ACF3-F3D5104B8670}">
  <dimension ref="Q2:W36"/>
  <sheetViews>
    <sheetView showGridLines="0" showRowColHeaders="0" zoomScale="80" zoomScaleNormal="80" workbookViewId="0">
      <selection activeCell="W3" sqref="W3"/>
    </sheetView>
  </sheetViews>
  <sheetFormatPr defaultRowHeight="15"/>
  <cols>
    <col min="1" max="1" width="0.85546875" customWidth="1"/>
    <col min="17" max="17" width="15.5703125" bestFit="1" customWidth="1"/>
    <col min="18" max="18" width="0.85546875" customWidth="1"/>
    <col min="19" max="19" width="15" bestFit="1" customWidth="1"/>
    <col min="20" max="20" width="0.85546875" style="2" customWidth="1"/>
    <col min="21" max="21" width="18.42578125" bestFit="1" customWidth="1"/>
    <col min="22" max="22" width="0.85546875" customWidth="1"/>
    <col min="23" max="23" width="22.7109375" bestFit="1" customWidth="1"/>
    <col min="25" max="25" width="12.7109375" bestFit="1" customWidth="1"/>
    <col min="26" max="26" width="0.85546875" customWidth="1"/>
    <col min="27" max="27" width="29.42578125" bestFit="1" customWidth="1"/>
    <col min="29" max="29" width="14" bestFit="1" customWidth="1"/>
    <col min="30" max="30" width="0.85546875" customWidth="1"/>
    <col min="31" max="31" width="17.7109375" bestFit="1" customWidth="1"/>
  </cols>
  <sheetData>
    <row r="2" spans="17:23">
      <c r="Q2" s="44"/>
      <c r="S2" s="44"/>
      <c r="U2" s="44"/>
      <c r="W2" s="44"/>
    </row>
    <row r="3" spans="17:23">
      <c r="Q3" s="2"/>
      <c r="S3" s="2"/>
      <c r="U3" s="2"/>
      <c r="W3" s="2"/>
    </row>
    <row r="4" spans="17:23">
      <c r="Q4" s="2"/>
      <c r="S4" s="2"/>
      <c r="U4" s="2"/>
      <c r="W4" s="2"/>
    </row>
    <row r="5" spans="17:23">
      <c r="Q5" s="2"/>
      <c r="S5" s="2"/>
      <c r="U5" s="2"/>
      <c r="W5" s="2"/>
    </row>
    <row r="6" spans="17:23">
      <c r="Q6" s="2"/>
      <c r="S6" s="2"/>
      <c r="U6" s="2"/>
      <c r="W6" s="2"/>
    </row>
    <row r="7" spans="17:23">
      <c r="Q7" s="2"/>
      <c r="S7" s="2"/>
      <c r="U7" s="2"/>
      <c r="W7" s="2"/>
    </row>
    <row r="8" spans="17:23">
      <c r="Q8" s="2"/>
      <c r="S8" s="2"/>
      <c r="U8" s="2"/>
      <c r="W8" s="2"/>
    </row>
    <row r="9" spans="17:23">
      <c r="Q9" s="2"/>
      <c r="W9" s="2"/>
    </row>
    <row r="10" spans="17:23">
      <c r="Q10" s="2"/>
      <c r="W10" s="2"/>
    </row>
    <row r="12" spans="17:23">
      <c r="Q12" s="44"/>
      <c r="S12" s="44"/>
      <c r="U12" s="44"/>
      <c r="W12" s="44"/>
    </row>
    <row r="13" spans="17:23">
      <c r="Q13" s="2"/>
      <c r="S13" s="2"/>
      <c r="U13" s="2"/>
      <c r="W13" s="2"/>
    </row>
    <row r="14" spans="17:23">
      <c r="Q14" s="2"/>
      <c r="S14" s="2"/>
      <c r="U14" s="2"/>
      <c r="W14" s="2"/>
    </row>
    <row r="15" spans="17:23">
      <c r="Q15" s="2"/>
      <c r="S15" s="2"/>
      <c r="U15" s="2"/>
      <c r="W15" s="2"/>
    </row>
    <row r="16" spans="17:23">
      <c r="Q16" s="2"/>
      <c r="S16" s="2"/>
      <c r="U16" s="2"/>
      <c r="W16" s="2"/>
    </row>
    <row r="17" spans="17:23">
      <c r="Q17" s="2"/>
      <c r="S17" s="2"/>
      <c r="U17" s="2"/>
      <c r="W17" s="2"/>
    </row>
    <row r="18" spans="17:23">
      <c r="Q18" s="2"/>
      <c r="S18" s="2"/>
      <c r="U18" s="2"/>
      <c r="W18" s="2"/>
    </row>
    <row r="19" spans="17:23">
      <c r="Q19" s="2"/>
      <c r="S19" s="2"/>
      <c r="U19" s="2"/>
      <c r="W19" s="2"/>
    </row>
    <row r="20" spans="17:23">
      <c r="Q20" s="2"/>
      <c r="S20" s="2"/>
      <c r="U20" s="2"/>
      <c r="W20" s="2"/>
    </row>
    <row r="21" spans="17:23">
      <c r="U21" s="2"/>
    </row>
    <row r="22" spans="17:23">
      <c r="U22" s="2"/>
    </row>
    <row r="23" spans="17:23">
      <c r="U23" s="2"/>
    </row>
    <row r="24" spans="17:23">
      <c r="U24" s="2"/>
    </row>
    <row r="25" spans="17:23">
      <c r="U25" s="2"/>
    </row>
    <row r="26" spans="17:23">
      <c r="U26" s="2"/>
    </row>
    <row r="27" spans="17:23">
      <c r="U27" s="2"/>
    </row>
    <row r="28" spans="17:23">
      <c r="U28" s="2"/>
    </row>
    <row r="29" spans="17:23">
      <c r="U29" s="2"/>
    </row>
    <row r="30" spans="17:23">
      <c r="U30" s="2"/>
    </row>
    <row r="31" spans="17:23">
      <c r="U31" s="2"/>
    </row>
    <row r="32" spans="17:23">
      <c r="U32" s="2"/>
    </row>
    <row r="33" spans="21:21">
      <c r="U33" s="2"/>
    </row>
    <row r="34" spans="21:21">
      <c r="U34" s="2"/>
    </row>
    <row r="35" spans="21:21">
      <c r="U35" s="2"/>
    </row>
    <row r="36" spans="21:21">
      <c r="U36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7CB8-A9C0-4A3C-AD9E-2C1F8CE0ECFC}">
  <dimension ref="B1:F29"/>
  <sheetViews>
    <sheetView showGridLines="0" showRowColHeaders="0" workbookViewId="0">
      <selection activeCell="B2" sqref="B2"/>
    </sheetView>
  </sheetViews>
  <sheetFormatPr defaultRowHeight="15"/>
  <cols>
    <col min="1" max="1" width="0.85546875" customWidth="1"/>
    <col min="2" max="2" width="19.140625" bestFit="1" customWidth="1"/>
    <col min="3" max="3" width="20.7109375" bestFit="1" customWidth="1"/>
    <col min="4" max="4" width="41.140625" bestFit="1" customWidth="1"/>
    <col min="5" max="5" width="21" bestFit="1" customWidth="1"/>
    <col min="6" max="6" width="19.5703125" bestFit="1" customWidth="1"/>
  </cols>
  <sheetData>
    <row r="1" spans="2:6" ht="5.0999999999999996" customHeight="1"/>
    <row r="2" spans="2:6">
      <c r="B2" t="s">
        <v>230</v>
      </c>
      <c r="C2" t="s">
        <v>231</v>
      </c>
      <c r="D2" t="s">
        <v>212</v>
      </c>
      <c r="E2" t="s">
        <v>232</v>
      </c>
      <c r="F2" t="s">
        <v>233</v>
      </c>
    </row>
    <row r="3" spans="2:6">
      <c r="B3" t="s">
        <v>187</v>
      </c>
      <c r="C3" t="s">
        <v>234</v>
      </c>
      <c r="D3" t="s">
        <v>235</v>
      </c>
      <c r="E3" t="s">
        <v>236</v>
      </c>
      <c r="F3" t="s">
        <v>49</v>
      </c>
    </row>
    <row r="4" spans="2:6">
      <c r="B4" t="s">
        <v>188</v>
      </c>
      <c r="C4" t="s">
        <v>237</v>
      </c>
      <c r="D4" t="s">
        <v>238</v>
      </c>
      <c r="E4" t="s">
        <v>239</v>
      </c>
      <c r="F4" t="s">
        <v>49</v>
      </c>
    </row>
    <row r="5" spans="2:6">
      <c r="B5" t="s">
        <v>189</v>
      </c>
      <c r="C5" t="s">
        <v>240</v>
      </c>
      <c r="D5" t="s">
        <v>241</v>
      </c>
      <c r="E5" t="s">
        <v>242</v>
      </c>
      <c r="F5" t="s">
        <v>49</v>
      </c>
    </row>
    <row r="6" spans="2:6">
      <c r="B6" t="s">
        <v>190</v>
      </c>
      <c r="C6" t="s">
        <v>240</v>
      </c>
      <c r="D6" t="s">
        <v>243</v>
      </c>
      <c r="E6" t="s">
        <v>244</v>
      </c>
      <c r="F6" t="s">
        <v>49</v>
      </c>
    </row>
    <row r="7" spans="2:6">
      <c r="B7" t="s">
        <v>191</v>
      </c>
      <c r="C7" t="s">
        <v>240</v>
      </c>
      <c r="D7" t="s">
        <v>245</v>
      </c>
      <c r="E7" t="s">
        <v>246</v>
      </c>
      <c r="F7" t="s">
        <v>49</v>
      </c>
    </row>
    <row r="8" spans="2:6">
      <c r="B8" t="s">
        <v>192</v>
      </c>
      <c r="C8" t="s">
        <v>237</v>
      </c>
      <c r="D8" t="s">
        <v>247</v>
      </c>
      <c r="E8" t="s">
        <v>248</v>
      </c>
      <c r="F8" t="s">
        <v>49</v>
      </c>
    </row>
    <row r="9" spans="2:6">
      <c r="B9" t="s">
        <v>193</v>
      </c>
      <c r="C9" t="s">
        <v>249</v>
      </c>
      <c r="D9" t="s">
        <v>250</v>
      </c>
      <c r="E9" t="s">
        <v>251</v>
      </c>
      <c r="F9" t="s">
        <v>49</v>
      </c>
    </row>
    <row r="10" spans="2:6">
      <c r="B10" t="s">
        <v>194</v>
      </c>
      <c r="C10" t="s">
        <v>237</v>
      </c>
      <c r="D10" t="s">
        <v>252</v>
      </c>
      <c r="E10" t="s">
        <v>253</v>
      </c>
      <c r="F10" t="s">
        <v>49</v>
      </c>
    </row>
    <row r="11" spans="2:6">
      <c r="B11" t="s">
        <v>195</v>
      </c>
      <c r="C11" t="s">
        <v>254</v>
      </c>
      <c r="D11" t="s">
        <v>255</v>
      </c>
      <c r="E11" t="s">
        <v>256</v>
      </c>
      <c r="F11" t="s">
        <v>49</v>
      </c>
    </row>
    <row r="12" spans="2:6">
      <c r="B12" t="s">
        <v>196</v>
      </c>
      <c r="C12" t="s">
        <v>254</v>
      </c>
      <c r="D12" t="s">
        <v>257</v>
      </c>
      <c r="E12" t="s">
        <v>258</v>
      </c>
      <c r="F12" t="s">
        <v>49</v>
      </c>
    </row>
    <row r="13" spans="2:6">
      <c r="B13" t="s">
        <v>197</v>
      </c>
      <c r="C13" t="s">
        <v>237</v>
      </c>
      <c r="D13" t="s">
        <v>259</v>
      </c>
      <c r="E13" t="s">
        <v>260</v>
      </c>
      <c r="F13" t="s">
        <v>49</v>
      </c>
    </row>
    <row r="14" spans="2:6">
      <c r="B14" t="s">
        <v>198</v>
      </c>
      <c r="C14" t="s">
        <v>237</v>
      </c>
      <c r="D14" t="s">
        <v>261</v>
      </c>
      <c r="E14" t="s">
        <v>262</v>
      </c>
      <c r="F14" t="s">
        <v>49</v>
      </c>
    </row>
    <row r="15" spans="2:6">
      <c r="B15" t="s">
        <v>199</v>
      </c>
      <c r="C15" t="s">
        <v>237</v>
      </c>
      <c r="D15" t="s">
        <v>263</v>
      </c>
      <c r="E15" t="s">
        <v>264</v>
      </c>
      <c r="F15" t="s">
        <v>49</v>
      </c>
    </row>
    <row r="16" spans="2:6">
      <c r="B16" t="s">
        <v>200</v>
      </c>
      <c r="C16" t="s">
        <v>240</v>
      </c>
      <c r="D16" t="s">
        <v>265</v>
      </c>
      <c r="E16" t="s">
        <v>266</v>
      </c>
      <c r="F16" t="s">
        <v>49</v>
      </c>
    </row>
    <row r="17" spans="2:6">
      <c r="B17" t="s">
        <v>201</v>
      </c>
      <c r="C17" t="s">
        <v>240</v>
      </c>
      <c r="D17" t="s">
        <v>267</v>
      </c>
      <c r="E17" t="s">
        <v>268</v>
      </c>
      <c r="F17" t="s">
        <v>49</v>
      </c>
    </row>
    <row r="18" spans="2:6">
      <c r="B18" t="s">
        <v>202</v>
      </c>
      <c r="C18" t="s">
        <v>249</v>
      </c>
      <c r="D18" t="s">
        <v>269</v>
      </c>
      <c r="E18" t="s">
        <v>270</v>
      </c>
      <c r="F18" t="s">
        <v>49</v>
      </c>
    </row>
    <row r="19" spans="2:6">
      <c r="B19" t="s">
        <v>203</v>
      </c>
      <c r="C19" t="s">
        <v>271</v>
      </c>
      <c r="D19" t="s">
        <v>272</v>
      </c>
      <c r="E19" t="s">
        <v>9</v>
      </c>
      <c r="F19" t="s">
        <v>49</v>
      </c>
    </row>
    <row r="20" spans="2:6">
      <c r="B20" t="s">
        <v>204</v>
      </c>
      <c r="C20" t="s">
        <v>254</v>
      </c>
      <c r="D20" t="s">
        <v>273</v>
      </c>
      <c r="E20" t="s">
        <v>274</v>
      </c>
      <c r="F20" t="s">
        <v>49</v>
      </c>
    </row>
    <row r="21" spans="2:6">
      <c r="B21" t="s">
        <v>205</v>
      </c>
      <c r="C21" t="s">
        <v>275</v>
      </c>
      <c r="D21" t="s">
        <v>276</v>
      </c>
      <c r="E21" t="s">
        <v>277</v>
      </c>
      <c r="F21" t="s">
        <v>278</v>
      </c>
    </row>
    <row r="22" spans="2:6">
      <c r="B22" t="s">
        <v>55</v>
      </c>
      <c r="C22" t="s">
        <v>279</v>
      </c>
      <c r="D22" t="s">
        <v>280</v>
      </c>
      <c r="E22" t="s">
        <v>281</v>
      </c>
      <c r="F22" t="s">
        <v>282</v>
      </c>
    </row>
    <row r="23" spans="2:6">
      <c r="B23" t="s">
        <v>58</v>
      </c>
      <c r="C23" t="s">
        <v>279</v>
      </c>
      <c r="D23" t="s">
        <v>283</v>
      </c>
      <c r="E23" t="s">
        <v>284</v>
      </c>
      <c r="F23" t="s">
        <v>285</v>
      </c>
    </row>
    <row r="24" spans="2:6">
      <c r="B24" t="s">
        <v>52</v>
      </c>
      <c r="C24" t="s">
        <v>279</v>
      </c>
      <c r="D24" t="s">
        <v>286</v>
      </c>
      <c r="E24" t="s">
        <v>287</v>
      </c>
      <c r="F24" t="s">
        <v>288</v>
      </c>
    </row>
    <row r="25" spans="2:6">
      <c r="B25" t="s">
        <v>206</v>
      </c>
      <c r="C25" t="s">
        <v>289</v>
      </c>
      <c r="D25" t="s">
        <v>290</v>
      </c>
      <c r="E25" t="s">
        <v>291</v>
      </c>
      <c r="F25" t="s">
        <v>49</v>
      </c>
    </row>
    <row r="26" spans="2:6">
      <c r="B26" t="s">
        <v>207</v>
      </c>
      <c r="C26" t="s">
        <v>237</v>
      </c>
      <c r="D26" t="s">
        <v>292</v>
      </c>
      <c r="E26" t="s">
        <v>293</v>
      </c>
      <c r="F26" t="s">
        <v>49</v>
      </c>
    </row>
    <row r="27" spans="2:6">
      <c r="B27" t="s">
        <v>208</v>
      </c>
      <c r="C27" t="s">
        <v>294</v>
      </c>
      <c r="D27" t="s">
        <v>295</v>
      </c>
      <c r="E27" t="s">
        <v>296</v>
      </c>
      <c r="F27" t="s">
        <v>49</v>
      </c>
    </row>
    <row r="28" spans="2:6">
      <c r="B28" t="s">
        <v>209</v>
      </c>
      <c r="C28" t="s">
        <v>294</v>
      </c>
      <c r="D28" t="s">
        <v>297</v>
      </c>
      <c r="E28" t="s">
        <v>298</v>
      </c>
      <c r="F28" t="s">
        <v>49</v>
      </c>
    </row>
    <row r="29" spans="2:6">
      <c r="B29" t="s">
        <v>49</v>
      </c>
      <c r="C29" t="s">
        <v>49</v>
      </c>
      <c r="D29" t="s">
        <v>49</v>
      </c>
      <c r="E29" t="s">
        <v>49</v>
      </c>
      <c r="F29" t="s">
        <v>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CE16-56E1-41A0-922A-AFBE384469AE}">
  <dimension ref="B1:F10"/>
  <sheetViews>
    <sheetView showGridLines="0" showRowColHeaders="0" workbookViewId="0"/>
  </sheetViews>
  <sheetFormatPr defaultRowHeight="15"/>
  <cols>
    <col min="1" max="1" width="0.85546875" customWidth="1"/>
    <col min="2" max="2" width="13.42578125" bestFit="1" customWidth="1"/>
    <col min="3" max="3" width="20.7109375" bestFit="1" customWidth="1"/>
    <col min="4" max="4" width="32" bestFit="1" customWidth="1"/>
    <col min="5" max="5" width="18.28515625" bestFit="1" customWidth="1"/>
    <col min="6" max="6" width="10.5703125" bestFit="1" customWidth="1"/>
  </cols>
  <sheetData>
    <row r="1" spans="2:6" ht="5.0999999999999996" customHeight="1"/>
    <row r="2" spans="2:6">
      <c r="B2" t="s">
        <v>230</v>
      </c>
      <c r="C2" t="s">
        <v>231</v>
      </c>
      <c r="D2" t="s">
        <v>212</v>
      </c>
      <c r="E2" t="s">
        <v>232</v>
      </c>
      <c r="F2" t="s">
        <v>233</v>
      </c>
    </row>
    <row r="3" spans="2:6">
      <c r="B3" t="s">
        <v>187</v>
      </c>
      <c r="C3" t="s">
        <v>234</v>
      </c>
      <c r="D3" t="s">
        <v>299</v>
      </c>
      <c r="E3" t="s">
        <v>287</v>
      </c>
      <c r="F3" t="s">
        <v>49</v>
      </c>
    </row>
    <row r="4" spans="2:6">
      <c r="B4" t="s">
        <v>210</v>
      </c>
      <c r="C4" t="s">
        <v>254</v>
      </c>
      <c r="D4" t="s">
        <v>300</v>
      </c>
      <c r="E4" t="s">
        <v>301</v>
      </c>
      <c r="F4" t="s">
        <v>49</v>
      </c>
    </row>
    <row r="5" spans="2:6">
      <c r="B5" t="s">
        <v>211</v>
      </c>
      <c r="C5" t="s">
        <v>237</v>
      </c>
      <c r="D5" t="s">
        <v>302</v>
      </c>
      <c r="E5" t="s">
        <v>303</v>
      </c>
      <c r="F5" t="s">
        <v>49</v>
      </c>
    </row>
    <row r="6" spans="2:6">
      <c r="B6" t="s">
        <v>212</v>
      </c>
      <c r="C6" t="s">
        <v>289</v>
      </c>
      <c r="D6" t="s">
        <v>304</v>
      </c>
      <c r="E6" t="s">
        <v>305</v>
      </c>
      <c r="F6" t="s">
        <v>49</v>
      </c>
    </row>
    <row r="7" spans="2:6">
      <c r="B7" t="s">
        <v>213</v>
      </c>
      <c r="C7" t="s">
        <v>275</v>
      </c>
      <c r="D7" t="s">
        <v>306</v>
      </c>
      <c r="E7" t="s">
        <v>307</v>
      </c>
      <c r="F7" t="s">
        <v>308</v>
      </c>
    </row>
    <row r="8" spans="2:6">
      <c r="B8" t="s">
        <v>214</v>
      </c>
      <c r="C8" t="s">
        <v>237</v>
      </c>
      <c r="D8" t="s">
        <v>309</v>
      </c>
      <c r="E8" t="s">
        <v>293</v>
      </c>
      <c r="F8" t="s">
        <v>49</v>
      </c>
    </row>
    <row r="9" spans="2:6">
      <c r="B9" t="s">
        <v>208</v>
      </c>
      <c r="C9" t="s">
        <v>294</v>
      </c>
      <c r="D9" t="s">
        <v>295</v>
      </c>
      <c r="E9" t="s">
        <v>296</v>
      </c>
      <c r="F9" t="s">
        <v>49</v>
      </c>
    </row>
    <row r="10" spans="2:6">
      <c r="B10" t="s">
        <v>209</v>
      </c>
      <c r="C10" t="s">
        <v>294</v>
      </c>
      <c r="D10" t="s">
        <v>297</v>
      </c>
      <c r="E10" t="s">
        <v>298</v>
      </c>
      <c r="F10" t="s">
        <v>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FAD3-9633-4868-9CCC-B2D3FC491679}">
  <dimension ref="B1:F7"/>
  <sheetViews>
    <sheetView showGridLines="0" showRowColHeaders="0" workbookViewId="0">
      <selection activeCell="B2" sqref="B2"/>
    </sheetView>
  </sheetViews>
  <sheetFormatPr defaultRowHeight="15"/>
  <cols>
    <col min="1" max="1" width="0.85546875" customWidth="1"/>
    <col min="2" max="2" width="13.42578125" bestFit="1" customWidth="1"/>
    <col min="3" max="3" width="20.7109375" bestFit="1" customWidth="1"/>
    <col min="4" max="4" width="25.140625" bestFit="1" customWidth="1"/>
    <col min="5" max="5" width="18.28515625" bestFit="1" customWidth="1"/>
    <col min="6" max="6" width="10.5703125" bestFit="1" customWidth="1"/>
  </cols>
  <sheetData>
    <row r="1" spans="2:6" ht="5.0999999999999996" customHeight="1"/>
    <row r="2" spans="2:6">
      <c r="B2" t="s">
        <v>230</v>
      </c>
      <c r="C2" t="s">
        <v>231</v>
      </c>
      <c r="D2" t="s">
        <v>212</v>
      </c>
      <c r="E2" t="s">
        <v>232</v>
      </c>
      <c r="F2" t="s">
        <v>233</v>
      </c>
    </row>
    <row r="3" spans="2:6">
      <c r="B3" t="s">
        <v>187</v>
      </c>
      <c r="C3" t="s">
        <v>234</v>
      </c>
      <c r="D3" t="s">
        <v>310</v>
      </c>
      <c r="E3" t="s">
        <v>281</v>
      </c>
      <c r="F3" t="s">
        <v>49</v>
      </c>
    </row>
    <row r="4" spans="2:6">
      <c r="B4" t="s">
        <v>210</v>
      </c>
      <c r="C4" t="s">
        <v>254</v>
      </c>
      <c r="D4" t="s">
        <v>311</v>
      </c>
      <c r="E4" t="s">
        <v>312</v>
      </c>
      <c r="F4" t="s">
        <v>49</v>
      </c>
    </row>
    <row r="5" spans="2:6">
      <c r="B5" t="s">
        <v>212</v>
      </c>
      <c r="C5" t="s">
        <v>289</v>
      </c>
      <c r="D5" t="s">
        <v>304</v>
      </c>
      <c r="E5" t="s">
        <v>313</v>
      </c>
      <c r="F5" t="s">
        <v>49</v>
      </c>
    </row>
    <row r="6" spans="2:6">
      <c r="B6" t="s">
        <v>208</v>
      </c>
      <c r="C6" t="s">
        <v>294</v>
      </c>
      <c r="D6" t="s">
        <v>295</v>
      </c>
      <c r="E6" t="s">
        <v>296</v>
      </c>
      <c r="F6" t="s">
        <v>49</v>
      </c>
    </row>
    <row r="7" spans="2:6">
      <c r="B7" t="s">
        <v>209</v>
      </c>
      <c r="C7" t="s">
        <v>294</v>
      </c>
      <c r="D7" t="s">
        <v>297</v>
      </c>
      <c r="E7" t="s">
        <v>298</v>
      </c>
      <c r="F7" t="s">
        <v>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8E90-C006-46C4-8545-A2E8BFE3D9C8}">
  <dimension ref="B1:F7"/>
  <sheetViews>
    <sheetView showGridLines="0" showRowColHeaders="0" workbookViewId="0">
      <selection activeCell="B2" sqref="B2"/>
    </sheetView>
  </sheetViews>
  <sheetFormatPr defaultRowHeight="15"/>
  <cols>
    <col min="1" max="1" width="0.85546875" customWidth="1"/>
    <col min="2" max="2" width="13.42578125" bestFit="1" customWidth="1"/>
    <col min="3" max="3" width="20.7109375" bestFit="1" customWidth="1"/>
    <col min="4" max="4" width="25.140625" bestFit="1" customWidth="1"/>
    <col min="5" max="5" width="18.28515625" bestFit="1" customWidth="1"/>
    <col min="6" max="6" width="10.5703125" bestFit="1" customWidth="1"/>
  </cols>
  <sheetData>
    <row r="1" spans="2:6" ht="5.0999999999999996" customHeight="1"/>
    <row r="2" spans="2:6">
      <c r="B2" t="s">
        <v>230</v>
      </c>
      <c r="C2" t="s">
        <v>231</v>
      </c>
      <c r="D2" t="s">
        <v>212</v>
      </c>
      <c r="E2" t="s">
        <v>232</v>
      </c>
      <c r="F2" t="s">
        <v>233</v>
      </c>
    </row>
    <row r="3" spans="2:6">
      <c r="B3" t="s">
        <v>187</v>
      </c>
      <c r="C3" t="s">
        <v>234</v>
      </c>
      <c r="D3" t="s">
        <v>314</v>
      </c>
      <c r="E3" t="s">
        <v>284</v>
      </c>
      <c r="F3" t="s">
        <v>49</v>
      </c>
    </row>
    <row r="4" spans="2:6">
      <c r="B4" t="s">
        <v>210</v>
      </c>
      <c r="C4" t="s">
        <v>254</v>
      </c>
      <c r="D4" t="s">
        <v>315</v>
      </c>
      <c r="E4" t="s">
        <v>316</v>
      </c>
      <c r="F4" t="s">
        <v>49</v>
      </c>
    </row>
    <row r="5" spans="2:6">
      <c r="B5" t="s">
        <v>212</v>
      </c>
      <c r="C5" t="s">
        <v>289</v>
      </c>
      <c r="D5" t="s">
        <v>304</v>
      </c>
      <c r="E5" t="s">
        <v>317</v>
      </c>
      <c r="F5" t="s">
        <v>49</v>
      </c>
    </row>
    <row r="6" spans="2:6">
      <c r="B6" t="s">
        <v>208</v>
      </c>
      <c r="C6" t="s">
        <v>294</v>
      </c>
      <c r="D6" t="s">
        <v>295</v>
      </c>
      <c r="E6" t="s">
        <v>296</v>
      </c>
      <c r="F6" t="s">
        <v>49</v>
      </c>
    </row>
    <row r="7" spans="2:6">
      <c r="B7" t="s">
        <v>209</v>
      </c>
      <c r="C7" t="s">
        <v>294</v>
      </c>
      <c r="D7" t="s">
        <v>297</v>
      </c>
      <c r="E7" t="s">
        <v>298</v>
      </c>
      <c r="F7" t="s">
        <v>49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5F54-01AD-4330-A838-5E88B6DCED03}">
  <dimension ref="B1:F10"/>
  <sheetViews>
    <sheetView showGridLines="0" workbookViewId="0">
      <selection activeCell="E33" sqref="E33"/>
    </sheetView>
  </sheetViews>
  <sheetFormatPr defaultRowHeight="15"/>
  <cols>
    <col min="1" max="1" width="0.85546875" customWidth="1"/>
    <col min="2" max="2" width="13.42578125" bestFit="1" customWidth="1"/>
    <col min="3" max="3" width="20.7109375" bestFit="1" customWidth="1"/>
    <col min="4" max="4" width="36.5703125" bestFit="1" customWidth="1"/>
    <col min="5" max="5" width="27.140625" bestFit="1" customWidth="1"/>
    <col min="6" max="6" width="11.140625" bestFit="1" customWidth="1"/>
  </cols>
  <sheetData>
    <row r="1" spans="2:6" ht="5.0999999999999996" customHeight="1"/>
    <row r="2" spans="2:6">
      <c r="B2" t="s">
        <v>230</v>
      </c>
      <c r="C2" t="s">
        <v>231</v>
      </c>
      <c r="D2" t="s">
        <v>212</v>
      </c>
      <c r="E2" t="s">
        <v>232</v>
      </c>
      <c r="F2" t="s">
        <v>233</v>
      </c>
    </row>
    <row r="3" spans="2:6">
      <c r="B3" t="s">
        <v>187</v>
      </c>
      <c r="C3" t="s">
        <v>234</v>
      </c>
      <c r="D3" t="s">
        <v>318</v>
      </c>
      <c r="E3" t="s">
        <v>319</v>
      </c>
      <c r="F3" t="s">
        <v>49</v>
      </c>
    </row>
    <row r="4" spans="2:6">
      <c r="B4" t="s">
        <v>63</v>
      </c>
      <c r="C4" t="s">
        <v>279</v>
      </c>
      <c r="D4" t="s">
        <v>320</v>
      </c>
      <c r="E4" t="s">
        <v>236</v>
      </c>
      <c r="F4" t="s">
        <v>278</v>
      </c>
    </row>
    <row r="5" spans="2:6">
      <c r="B5" t="s">
        <v>61</v>
      </c>
      <c r="C5" t="s">
        <v>279</v>
      </c>
      <c r="D5" t="s">
        <v>321</v>
      </c>
      <c r="E5" t="s">
        <v>322</v>
      </c>
      <c r="F5" t="s">
        <v>323</v>
      </c>
    </row>
    <row r="6" spans="2:6">
      <c r="B6" t="s">
        <v>216</v>
      </c>
      <c r="C6" t="s">
        <v>249</v>
      </c>
      <c r="D6" t="s">
        <v>324</v>
      </c>
      <c r="E6" t="s">
        <v>325</v>
      </c>
      <c r="F6" t="s">
        <v>49</v>
      </c>
    </row>
    <row r="7" spans="2:6">
      <c r="B7" t="s">
        <v>203</v>
      </c>
      <c r="C7" t="s">
        <v>271</v>
      </c>
      <c r="D7" t="s">
        <v>326</v>
      </c>
      <c r="E7" t="s">
        <v>9</v>
      </c>
      <c r="F7" t="s">
        <v>49</v>
      </c>
    </row>
    <row r="8" spans="2:6">
      <c r="B8" t="s">
        <v>217</v>
      </c>
      <c r="C8" t="s">
        <v>289</v>
      </c>
      <c r="D8" t="s">
        <v>327</v>
      </c>
      <c r="E8" t="s">
        <v>328</v>
      </c>
      <c r="F8" t="s">
        <v>49</v>
      </c>
    </row>
    <row r="9" spans="2:6">
      <c r="B9" t="s">
        <v>208</v>
      </c>
      <c r="C9" t="s">
        <v>294</v>
      </c>
      <c r="D9" t="s">
        <v>295</v>
      </c>
      <c r="E9" t="s">
        <v>296</v>
      </c>
      <c r="F9" t="s">
        <v>49</v>
      </c>
    </row>
    <row r="10" spans="2:6">
      <c r="B10" t="s">
        <v>209</v>
      </c>
      <c r="C10" t="s">
        <v>294</v>
      </c>
      <c r="D10" t="s">
        <v>297</v>
      </c>
      <c r="E10" t="s">
        <v>298</v>
      </c>
      <c r="F10" t="s">
        <v>49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363F-A2CC-4FB5-B0BB-9DFA2C881437}">
  <dimension ref="B1:F12"/>
  <sheetViews>
    <sheetView showGridLines="0" showRowColHeaders="0" workbookViewId="0">
      <selection activeCell="H32" sqref="H32"/>
    </sheetView>
  </sheetViews>
  <sheetFormatPr defaultRowHeight="15"/>
  <cols>
    <col min="1" max="1" width="0.85546875" customWidth="1"/>
    <col min="2" max="2" width="14.28515625" bestFit="1" customWidth="1"/>
    <col min="3" max="3" width="20.7109375" bestFit="1" customWidth="1"/>
    <col min="4" max="4" width="33" bestFit="1" customWidth="1"/>
    <col min="5" max="5" width="20.85546875" bestFit="1" customWidth="1"/>
    <col min="6" max="6" width="16.7109375" bestFit="1" customWidth="1"/>
  </cols>
  <sheetData>
    <row r="1" spans="2:6" ht="5.0999999999999996" customHeight="1"/>
    <row r="2" spans="2:6">
      <c r="B2" t="s">
        <v>230</v>
      </c>
      <c r="C2" t="s">
        <v>231</v>
      </c>
      <c r="D2" t="s">
        <v>212</v>
      </c>
      <c r="E2" t="s">
        <v>232</v>
      </c>
      <c r="F2" t="s">
        <v>233</v>
      </c>
    </row>
    <row r="3" spans="2:6">
      <c r="B3" t="s">
        <v>187</v>
      </c>
      <c r="C3" t="s">
        <v>234</v>
      </c>
      <c r="D3" t="s">
        <v>329</v>
      </c>
      <c r="E3" t="s">
        <v>330</v>
      </c>
      <c r="F3" t="s">
        <v>49</v>
      </c>
    </row>
    <row r="4" spans="2:6">
      <c r="B4" t="s">
        <v>63</v>
      </c>
      <c r="C4" t="s">
        <v>279</v>
      </c>
      <c r="D4" t="s">
        <v>320</v>
      </c>
      <c r="E4" t="s">
        <v>236</v>
      </c>
      <c r="F4" t="s">
        <v>278</v>
      </c>
    </row>
    <row r="5" spans="2:6">
      <c r="B5" t="s">
        <v>215</v>
      </c>
      <c r="C5" t="s">
        <v>279</v>
      </c>
      <c r="D5" t="s">
        <v>331</v>
      </c>
      <c r="E5" t="s">
        <v>322</v>
      </c>
      <c r="F5" t="s">
        <v>332</v>
      </c>
    </row>
    <row r="6" spans="2:6">
      <c r="B6" t="s">
        <v>216</v>
      </c>
      <c r="C6" t="s">
        <v>249</v>
      </c>
      <c r="D6" t="s">
        <v>333</v>
      </c>
      <c r="E6" t="s">
        <v>334</v>
      </c>
      <c r="F6" t="s">
        <v>49</v>
      </c>
    </row>
    <row r="7" spans="2:6">
      <c r="B7" t="s">
        <v>203</v>
      </c>
      <c r="C7" t="s">
        <v>249</v>
      </c>
      <c r="D7" t="s">
        <v>335</v>
      </c>
      <c r="E7" t="s">
        <v>336</v>
      </c>
      <c r="F7" t="s">
        <v>49</v>
      </c>
    </row>
    <row r="8" spans="2:6">
      <c r="B8" t="s">
        <v>337</v>
      </c>
      <c r="C8" t="s">
        <v>289</v>
      </c>
      <c r="D8" t="s">
        <v>338</v>
      </c>
      <c r="E8" t="s">
        <v>339</v>
      </c>
      <c r="F8" t="s">
        <v>49</v>
      </c>
    </row>
    <row r="9" spans="2:6">
      <c r="B9" t="s">
        <v>217</v>
      </c>
      <c r="C9" t="s">
        <v>340</v>
      </c>
      <c r="D9" t="s">
        <v>327</v>
      </c>
      <c r="E9" t="s">
        <v>341</v>
      </c>
      <c r="F9" t="s">
        <v>49</v>
      </c>
    </row>
    <row r="10" spans="2:6">
      <c r="B10" t="s">
        <v>342</v>
      </c>
      <c r="C10" t="s">
        <v>343</v>
      </c>
      <c r="D10" t="s">
        <v>344</v>
      </c>
      <c r="E10" t="s">
        <v>345</v>
      </c>
      <c r="F10" t="s">
        <v>49</v>
      </c>
    </row>
    <row r="11" spans="2:6">
      <c r="B11" t="s">
        <v>208</v>
      </c>
      <c r="C11" t="s">
        <v>294</v>
      </c>
      <c r="D11" t="s">
        <v>295</v>
      </c>
      <c r="E11" t="s">
        <v>296</v>
      </c>
      <c r="F11" t="s">
        <v>49</v>
      </c>
    </row>
    <row r="12" spans="2:6">
      <c r="B12" t="s">
        <v>209</v>
      </c>
      <c r="C12" t="s">
        <v>294</v>
      </c>
      <c r="D12" t="s">
        <v>297</v>
      </c>
      <c r="E12" t="s">
        <v>346</v>
      </c>
      <c r="F12" t="s">
        <v>49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CF85-59FF-461E-807E-2FA43394FE7C}">
  <dimension ref="B1:F9"/>
  <sheetViews>
    <sheetView showGridLines="0" showRowColHeaders="0" workbookViewId="0">
      <selection activeCell="B3" sqref="B3:B9"/>
    </sheetView>
  </sheetViews>
  <sheetFormatPr defaultRowHeight="15"/>
  <cols>
    <col min="1" max="1" width="0.85546875" customWidth="1"/>
    <col min="2" max="2" width="16.5703125" bestFit="1" customWidth="1"/>
    <col min="3" max="3" width="20.7109375" bestFit="1" customWidth="1"/>
    <col min="4" max="4" width="24.7109375" bestFit="1" customWidth="1"/>
    <col min="5" max="5" width="18.28515625" bestFit="1" customWidth="1"/>
    <col min="6" max="6" width="16.5703125" bestFit="1" customWidth="1"/>
  </cols>
  <sheetData>
    <row r="1" spans="2:6" ht="5.0999999999999996" customHeight="1"/>
    <row r="2" spans="2:6">
      <c r="B2" t="s">
        <v>230</v>
      </c>
      <c r="C2" t="s">
        <v>231</v>
      </c>
      <c r="D2" t="s">
        <v>212</v>
      </c>
      <c r="E2" t="s">
        <v>232</v>
      </c>
      <c r="F2" t="s">
        <v>233</v>
      </c>
    </row>
    <row r="3" spans="2:6">
      <c r="B3" t="s">
        <v>187</v>
      </c>
      <c r="C3" t="s">
        <v>234</v>
      </c>
      <c r="D3" t="s">
        <v>367</v>
      </c>
      <c r="E3" t="s">
        <v>368</v>
      </c>
      <c r="F3" t="s">
        <v>49</v>
      </c>
    </row>
    <row r="4" spans="2:6">
      <c r="B4" t="s">
        <v>34</v>
      </c>
      <c r="C4" t="s">
        <v>279</v>
      </c>
      <c r="D4" t="s">
        <v>369</v>
      </c>
      <c r="E4" t="s">
        <v>330</v>
      </c>
      <c r="F4" t="s">
        <v>370</v>
      </c>
    </row>
    <row r="5" spans="2:6">
      <c r="B5" t="s">
        <v>371</v>
      </c>
      <c r="C5" t="s">
        <v>279</v>
      </c>
      <c r="D5" t="s">
        <v>372</v>
      </c>
      <c r="E5" t="s">
        <v>319</v>
      </c>
      <c r="F5" t="s">
        <v>308</v>
      </c>
    </row>
    <row r="6" spans="2:6">
      <c r="B6" t="s">
        <v>373</v>
      </c>
      <c r="C6" t="s">
        <v>240</v>
      </c>
      <c r="D6" t="s">
        <v>374</v>
      </c>
      <c r="E6" t="s">
        <v>375</v>
      </c>
      <c r="F6" t="s">
        <v>49</v>
      </c>
    </row>
    <row r="7" spans="2:6">
      <c r="B7" t="s">
        <v>376</v>
      </c>
      <c r="C7" t="s">
        <v>377</v>
      </c>
      <c r="D7" t="s">
        <v>378</v>
      </c>
      <c r="E7" t="s">
        <v>379</v>
      </c>
      <c r="F7" t="s">
        <v>49</v>
      </c>
    </row>
    <row r="8" spans="2:6">
      <c r="B8" t="s">
        <v>380</v>
      </c>
      <c r="C8" t="s">
        <v>377</v>
      </c>
      <c r="D8" t="s">
        <v>381</v>
      </c>
      <c r="E8" t="s">
        <v>379</v>
      </c>
      <c r="F8" t="s">
        <v>49</v>
      </c>
    </row>
    <row r="9" spans="2:6">
      <c r="B9" t="s">
        <v>382</v>
      </c>
      <c r="C9" t="s">
        <v>294</v>
      </c>
      <c r="D9" t="s">
        <v>383</v>
      </c>
      <c r="E9" t="s">
        <v>346</v>
      </c>
      <c r="F9" t="s">
        <v>49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1821C-2B50-4EDD-A0EB-FF5928D8C3B8}">
  <dimension ref="B1:F7"/>
  <sheetViews>
    <sheetView showGridLines="0" showRowColHeaders="0" workbookViewId="0">
      <selection activeCell="B3" sqref="B3:B7"/>
    </sheetView>
  </sheetViews>
  <sheetFormatPr defaultRowHeight="15"/>
  <cols>
    <col min="1" max="1" width="0.85546875" customWidth="1"/>
    <col min="2" max="2" width="13.42578125" bestFit="1" customWidth="1"/>
    <col min="3" max="3" width="14.140625" bestFit="1" customWidth="1"/>
    <col min="4" max="4" width="31.42578125" bestFit="1" customWidth="1"/>
    <col min="5" max="5" width="17.28515625" bestFit="1" customWidth="1"/>
    <col min="6" max="6" width="11" bestFit="1" customWidth="1"/>
  </cols>
  <sheetData>
    <row r="1" spans="2:6" ht="5.0999999999999996" customHeight="1"/>
    <row r="2" spans="2:6">
      <c r="B2" t="s">
        <v>230</v>
      </c>
      <c r="C2" t="s">
        <v>387</v>
      </c>
      <c r="D2" t="s">
        <v>388</v>
      </c>
      <c r="E2" t="s">
        <v>389</v>
      </c>
      <c r="F2" t="s">
        <v>390</v>
      </c>
    </row>
    <row r="3" spans="2:6">
      <c r="B3" t="s">
        <v>187</v>
      </c>
      <c r="C3" t="s">
        <v>391</v>
      </c>
      <c r="D3" t="s">
        <v>424</v>
      </c>
      <c r="E3" t="s">
        <v>404</v>
      </c>
      <c r="F3" t="s">
        <v>49</v>
      </c>
    </row>
    <row r="4" spans="2:6">
      <c r="B4" t="s">
        <v>210</v>
      </c>
      <c r="C4" t="s">
        <v>405</v>
      </c>
      <c r="D4" t="s">
        <v>425</v>
      </c>
      <c r="E4" t="s">
        <v>426</v>
      </c>
      <c r="F4" t="s">
        <v>49</v>
      </c>
    </row>
    <row r="5" spans="2:6">
      <c r="B5" t="s">
        <v>211</v>
      </c>
      <c r="C5" t="s">
        <v>408</v>
      </c>
      <c r="D5" t="s">
        <v>427</v>
      </c>
      <c r="E5" t="s">
        <v>428</v>
      </c>
      <c r="F5" t="s">
        <v>49</v>
      </c>
    </row>
    <row r="6" spans="2:6">
      <c r="B6" t="s">
        <v>212</v>
      </c>
      <c r="C6" t="s">
        <v>411</v>
      </c>
      <c r="D6" t="s">
        <v>429</v>
      </c>
      <c r="E6" t="s">
        <v>430</v>
      </c>
      <c r="F6" t="s">
        <v>49</v>
      </c>
    </row>
    <row r="7" spans="2:6">
      <c r="B7" t="s">
        <v>431</v>
      </c>
      <c r="C7" t="s">
        <v>432</v>
      </c>
      <c r="D7" t="s">
        <v>433</v>
      </c>
      <c r="E7" t="s">
        <v>434</v>
      </c>
      <c r="F7" t="s">
        <v>49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6351-4778-4688-A552-CBAFFD063579}">
  <dimension ref="B1:F10"/>
  <sheetViews>
    <sheetView showGridLines="0" showRowColHeaders="0" workbookViewId="0">
      <selection activeCell="H32" sqref="H32"/>
    </sheetView>
  </sheetViews>
  <sheetFormatPr defaultRowHeight="15"/>
  <cols>
    <col min="1" max="1" width="0.85546875" customWidth="1"/>
    <col min="2" max="2" width="15.28515625" bestFit="1" customWidth="1"/>
    <col min="3" max="3" width="20.7109375" bestFit="1" customWidth="1"/>
    <col min="4" max="4" width="25.140625" bestFit="1" customWidth="1"/>
    <col min="5" max="5" width="18.28515625" bestFit="1" customWidth="1"/>
    <col min="6" max="6" width="18.5703125" bestFit="1" customWidth="1"/>
  </cols>
  <sheetData>
    <row r="1" spans="2:6" ht="5.0999999999999996" customHeight="1"/>
    <row r="2" spans="2:6">
      <c r="B2" t="s">
        <v>230</v>
      </c>
      <c r="C2" t="s">
        <v>231</v>
      </c>
      <c r="D2" t="s">
        <v>212</v>
      </c>
      <c r="E2" t="s">
        <v>232</v>
      </c>
      <c r="F2" t="s">
        <v>233</v>
      </c>
    </row>
    <row r="3" spans="2:6">
      <c r="B3" t="s">
        <v>187</v>
      </c>
      <c r="C3" t="s">
        <v>234</v>
      </c>
      <c r="D3" t="s">
        <v>347</v>
      </c>
      <c r="E3" t="s">
        <v>348</v>
      </c>
      <c r="F3" t="s">
        <v>49</v>
      </c>
    </row>
    <row r="4" spans="2:6">
      <c r="B4" t="s">
        <v>63</v>
      </c>
      <c r="C4" t="s">
        <v>279</v>
      </c>
      <c r="D4" t="s">
        <v>320</v>
      </c>
      <c r="E4" t="s">
        <v>236</v>
      </c>
      <c r="F4" t="s">
        <v>278</v>
      </c>
    </row>
    <row r="5" spans="2:6">
      <c r="B5" t="s">
        <v>180</v>
      </c>
      <c r="C5" t="s">
        <v>279</v>
      </c>
      <c r="D5" t="s">
        <v>349</v>
      </c>
      <c r="E5" t="s">
        <v>319</v>
      </c>
      <c r="F5" t="s">
        <v>350</v>
      </c>
    </row>
    <row r="6" spans="2:6">
      <c r="B6" t="s">
        <v>216</v>
      </c>
      <c r="C6" t="s">
        <v>249</v>
      </c>
      <c r="D6" t="s">
        <v>351</v>
      </c>
      <c r="E6" t="s">
        <v>352</v>
      </c>
      <c r="F6" t="s">
        <v>49</v>
      </c>
    </row>
    <row r="7" spans="2:6">
      <c r="B7" t="s">
        <v>203</v>
      </c>
      <c r="C7" t="s">
        <v>271</v>
      </c>
      <c r="D7" t="s">
        <v>353</v>
      </c>
      <c r="E7" t="s">
        <v>9</v>
      </c>
      <c r="F7" t="s">
        <v>49</v>
      </c>
    </row>
    <row r="8" spans="2:6">
      <c r="B8" t="s">
        <v>217</v>
      </c>
      <c r="C8" t="s">
        <v>289</v>
      </c>
      <c r="D8" t="s">
        <v>327</v>
      </c>
      <c r="E8" t="s">
        <v>354</v>
      </c>
      <c r="F8" t="s">
        <v>49</v>
      </c>
    </row>
    <row r="9" spans="2:6">
      <c r="B9" t="s">
        <v>208</v>
      </c>
      <c r="C9" t="s">
        <v>294</v>
      </c>
      <c r="D9" t="s">
        <v>295</v>
      </c>
      <c r="E9" t="s">
        <v>296</v>
      </c>
      <c r="F9" t="s">
        <v>49</v>
      </c>
    </row>
    <row r="10" spans="2:6">
      <c r="B10" t="s">
        <v>209</v>
      </c>
      <c r="C10" t="s">
        <v>294</v>
      </c>
      <c r="D10" t="s">
        <v>297</v>
      </c>
      <c r="E10" t="s">
        <v>298</v>
      </c>
      <c r="F10" t="s">
        <v>49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DDEB-FE0F-47F9-84AF-ACCECB03C69F}">
  <dimension ref="B1:F11"/>
  <sheetViews>
    <sheetView showGridLines="0" showRowColHeaders="0" workbookViewId="0">
      <selection activeCell="H32" sqref="H32"/>
    </sheetView>
  </sheetViews>
  <sheetFormatPr defaultRowHeight="15"/>
  <cols>
    <col min="1" max="1" width="0.85546875" customWidth="1"/>
    <col min="2" max="2" width="13.42578125" bestFit="1" customWidth="1"/>
    <col min="3" max="3" width="20.7109375" bestFit="1" customWidth="1"/>
    <col min="4" max="4" width="31.140625" bestFit="1" customWidth="1"/>
    <col min="5" max="5" width="23" bestFit="1" customWidth="1"/>
    <col min="6" max="6" width="15" bestFit="1" customWidth="1"/>
  </cols>
  <sheetData>
    <row r="1" spans="2:6" ht="5.0999999999999996" customHeight="1"/>
    <row r="2" spans="2:6">
      <c r="B2" t="s">
        <v>230</v>
      </c>
      <c r="C2" t="s">
        <v>231</v>
      </c>
      <c r="D2" t="s">
        <v>212</v>
      </c>
      <c r="E2" t="s">
        <v>232</v>
      </c>
      <c r="F2" t="s">
        <v>233</v>
      </c>
    </row>
    <row r="3" spans="2:6">
      <c r="B3" t="s">
        <v>187</v>
      </c>
      <c r="C3" t="s">
        <v>234</v>
      </c>
      <c r="D3" t="s">
        <v>355</v>
      </c>
      <c r="E3" t="s">
        <v>356</v>
      </c>
      <c r="F3" t="s">
        <v>49</v>
      </c>
    </row>
    <row r="4" spans="2:6">
      <c r="B4" t="s">
        <v>63</v>
      </c>
      <c r="C4" t="s">
        <v>279</v>
      </c>
      <c r="D4" t="s">
        <v>320</v>
      </c>
      <c r="E4" t="s">
        <v>236</v>
      </c>
      <c r="F4" t="s">
        <v>278</v>
      </c>
    </row>
    <row r="5" spans="2:6">
      <c r="B5" t="s">
        <v>220</v>
      </c>
      <c r="C5" t="s">
        <v>279</v>
      </c>
      <c r="D5" t="s">
        <v>357</v>
      </c>
      <c r="E5" t="s">
        <v>284</v>
      </c>
      <c r="F5" t="s">
        <v>358</v>
      </c>
    </row>
    <row r="6" spans="2:6">
      <c r="B6" t="s">
        <v>221</v>
      </c>
      <c r="C6" t="s">
        <v>254</v>
      </c>
      <c r="D6" t="s">
        <v>359</v>
      </c>
      <c r="E6" t="s">
        <v>360</v>
      </c>
      <c r="F6" t="s">
        <v>49</v>
      </c>
    </row>
    <row r="7" spans="2:6">
      <c r="B7" t="s">
        <v>361</v>
      </c>
      <c r="C7" t="s">
        <v>249</v>
      </c>
      <c r="D7" t="s">
        <v>362</v>
      </c>
      <c r="E7" t="s">
        <v>363</v>
      </c>
      <c r="F7" t="s">
        <v>49</v>
      </c>
    </row>
    <row r="8" spans="2:6">
      <c r="B8" t="s">
        <v>223</v>
      </c>
      <c r="C8" t="s">
        <v>271</v>
      </c>
      <c r="D8" t="s">
        <v>364</v>
      </c>
      <c r="E8" t="s">
        <v>9</v>
      </c>
      <c r="F8" t="s">
        <v>49</v>
      </c>
    </row>
    <row r="9" spans="2:6">
      <c r="B9" t="s">
        <v>217</v>
      </c>
      <c r="C9" t="s">
        <v>289</v>
      </c>
      <c r="D9" t="s">
        <v>327</v>
      </c>
      <c r="E9" t="s">
        <v>365</v>
      </c>
      <c r="F9" t="s">
        <v>49</v>
      </c>
    </row>
    <row r="10" spans="2:6">
      <c r="B10" t="s">
        <v>208</v>
      </c>
      <c r="C10" t="s">
        <v>294</v>
      </c>
      <c r="D10" t="s">
        <v>295</v>
      </c>
      <c r="E10" t="s">
        <v>296</v>
      </c>
      <c r="F10" t="s">
        <v>49</v>
      </c>
    </row>
    <row r="11" spans="2:6">
      <c r="B11" t="s">
        <v>209</v>
      </c>
      <c r="C11" t="s">
        <v>294</v>
      </c>
      <c r="D11" t="s">
        <v>297</v>
      </c>
      <c r="E11" t="s">
        <v>298</v>
      </c>
      <c r="F11" t="s">
        <v>49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11F2-7E85-4CA0-A391-84B609B11C73}">
  <dimension ref="B1:F8"/>
  <sheetViews>
    <sheetView showGridLines="0" showRowColHeaders="0" workbookViewId="0">
      <selection activeCell="B2" sqref="B2"/>
    </sheetView>
  </sheetViews>
  <sheetFormatPr defaultRowHeight="15"/>
  <cols>
    <col min="1" max="1" width="0.85546875" customWidth="1"/>
    <col min="2" max="2" width="16.5703125" bestFit="1" customWidth="1"/>
    <col min="3" max="3" width="23.85546875" bestFit="1" customWidth="1"/>
    <col min="4" max="4" width="27.28515625" bestFit="1" customWidth="1"/>
    <col min="5" max="5" width="18.28515625" bestFit="1" customWidth="1"/>
    <col min="6" max="6" width="14.85546875" bestFit="1" customWidth="1"/>
  </cols>
  <sheetData>
    <row r="1" spans="2:6" ht="5.0999999999999996" customHeight="1"/>
    <row r="2" spans="2:6">
      <c r="B2" t="s">
        <v>187</v>
      </c>
      <c r="C2" t="s">
        <v>234</v>
      </c>
      <c r="D2" t="s">
        <v>367</v>
      </c>
      <c r="E2" t="s">
        <v>384</v>
      </c>
      <c r="F2" t="s">
        <v>229</v>
      </c>
    </row>
    <row r="3" spans="2:6">
      <c r="B3" t="s">
        <v>40</v>
      </c>
      <c r="C3" t="s">
        <v>279</v>
      </c>
      <c r="D3" t="s">
        <v>385</v>
      </c>
      <c r="E3" t="s">
        <v>356</v>
      </c>
      <c r="F3" t="s">
        <v>386</v>
      </c>
    </row>
    <row r="4" spans="2:6">
      <c r="B4" t="s">
        <v>371</v>
      </c>
      <c r="C4" t="s">
        <v>279</v>
      </c>
      <c r="D4" t="s">
        <v>372</v>
      </c>
      <c r="E4" t="s">
        <v>319</v>
      </c>
      <c r="F4" t="s">
        <v>308</v>
      </c>
    </row>
    <row r="5" spans="2:6">
      <c r="B5" t="s">
        <v>373</v>
      </c>
      <c r="C5" t="s">
        <v>240</v>
      </c>
      <c r="D5" t="s">
        <v>374</v>
      </c>
      <c r="E5" t="s">
        <v>375</v>
      </c>
      <c r="F5" t="s">
        <v>49</v>
      </c>
    </row>
    <row r="6" spans="2:6">
      <c r="B6" t="s">
        <v>376</v>
      </c>
      <c r="C6" t="s">
        <v>377</v>
      </c>
      <c r="D6" t="s">
        <v>378</v>
      </c>
      <c r="E6" t="s">
        <v>379</v>
      </c>
      <c r="F6" t="s">
        <v>49</v>
      </c>
    </row>
    <row r="7" spans="2:6">
      <c r="B7" t="s">
        <v>380</v>
      </c>
      <c r="C7" t="s">
        <v>377</v>
      </c>
      <c r="D7" t="s">
        <v>381</v>
      </c>
      <c r="E7" t="s">
        <v>379</v>
      </c>
      <c r="F7" t="s">
        <v>49</v>
      </c>
    </row>
    <row r="8" spans="2:6">
      <c r="B8" t="s">
        <v>382</v>
      </c>
      <c r="C8" t="s">
        <v>294</v>
      </c>
      <c r="D8" t="s">
        <v>383</v>
      </c>
      <c r="E8" t="s">
        <v>298</v>
      </c>
      <c r="F8" t="s">
        <v>49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2A29-625B-43CE-BF5D-38538F35BA4D}">
  <dimension ref="B1:F5"/>
  <sheetViews>
    <sheetView showGridLines="0" showRowColHeaders="0" workbookViewId="0">
      <selection activeCell="B2" sqref="B2"/>
    </sheetView>
  </sheetViews>
  <sheetFormatPr defaultRowHeight="15"/>
  <cols>
    <col min="1" max="1" width="0.85546875" customWidth="1"/>
    <col min="2" max="2" width="13.42578125" bestFit="1" customWidth="1"/>
    <col min="3" max="3" width="13.140625" bestFit="1" customWidth="1"/>
    <col min="4" max="4" width="36.28515625" bestFit="1" customWidth="1"/>
    <col min="5" max="5" width="17" bestFit="1" customWidth="1"/>
    <col min="6" max="6" width="11.42578125" bestFit="1" customWidth="1"/>
  </cols>
  <sheetData>
    <row r="1" spans="2:6" ht="5.0999999999999996" customHeight="1"/>
    <row r="2" spans="2:6">
      <c r="B2" t="s">
        <v>230</v>
      </c>
      <c r="C2" t="s">
        <v>387</v>
      </c>
      <c r="D2" t="s">
        <v>388</v>
      </c>
      <c r="E2" t="s">
        <v>389</v>
      </c>
      <c r="F2" t="s">
        <v>390</v>
      </c>
    </row>
    <row r="3" spans="2:6">
      <c r="B3" t="s">
        <v>164</v>
      </c>
      <c r="C3" t="s">
        <v>391</v>
      </c>
      <c r="D3" t="s">
        <v>392</v>
      </c>
      <c r="E3" t="s">
        <v>393</v>
      </c>
      <c r="F3" t="s">
        <v>394</v>
      </c>
    </row>
    <row r="4" spans="2:6">
      <c r="B4" t="s">
        <v>63</v>
      </c>
      <c r="C4" t="s">
        <v>391</v>
      </c>
      <c r="D4" t="s">
        <v>395</v>
      </c>
      <c r="E4" t="s">
        <v>396</v>
      </c>
      <c r="F4" t="s">
        <v>397</v>
      </c>
    </row>
    <row r="5" spans="2:6">
      <c r="B5" t="s">
        <v>225</v>
      </c>
      <c r="C5" t="s">
        <v>398</v>
      </c>
      <c r="D5" t="s">
        <v>399</v>
      </c>
      <c r="E5" t="s">
        <v>400</v>
      </c>
      <c r="F5" t="s">
        <v>401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8965-954A-487D-95CD-0C8D2E8EDEF8}">
  <dimension ref="B1:F8"/>
  <sheetViews>
    <sheetView showGridLines="0" showRowColHeaders="0" workbookViewId="0">
      <selection activeCell="B3" sqref="B3:B8"/>
    </sheetView>
  </sheetViews>
  <sheetFormatPr defaultRowHeight="15"/>
  <cols>
    <col min="1" max="1" width="0.85546875" customWidth="1"/>
    <col min="2" max="2" width="13.42578125" bestFit="1" customWidth="1"/>
    <col min="3" max="3" width="21.140625" bestFit="1" customWidth="1"/>
    <col min="4" max="4" width="33.28515625" bestFit="1" customWidth="1"/>
    <col min="5" max="5" width="20.28515625" bestFit="1" customWidth="1"/>
    <col min="6" max="6" width="11" bestFit="1" customWidth="1"/>
  </cols>
  <sheetData>
    <row r="1" spans="2:6" ht="5.0999999999999996" customHeight="1"/>
    <row r="2" spans="2:6">
      <c r="B2" t="s">
        <v>230</v>
      </c>
      <c r="C2" t="s">
        <v>387</v>
      </c>
      <c r="D2" t="s">
        <v>388</v>
      </c>
      <c r="E2" t="s">
        <v>389</v>
      </c>
      <c r="F2" t="s">
        <v>390</v>
      </c>
    </row>
    <row r="3" spans="2:6">
      <c r="B3" t="s">
        <v>187</v>
      </c>
      <c r="C3" t="s">
        <v>402</v>
      </c>
      <c r="D3" t="s">
        <v>403</v>
      </c>
      <c r="E3" t="s">
        <v>404</v>
      </c>
      <c r="F3" t="s">
        <v>401</v>
      </c>
    </row>
    <row r="4" spans="2:6">
      <c r="B4" t="s">
        <v>210</v>
      </c>
      <c r="C4" t="s">
        <v>405</v>
      </c>
      <c r="D4" t="s">
        <v>406</v>
      </c>
      <c r="E4" t="s">
        <v>407</v>
      </c>
      <c r="F4" t="s">
        <v>401</v>
      </c>
    </row>
    <row r="5" spans="2:6">
      <c r="B5" t="s">
        <v>211</v>
      </c>
      <c r="C5" t="s">
        <v>408</v>
      </c>
      <c r="D5" t="s">
        <v>409</v>
      </c>
      <c r="E5" t="s">
        <v>410</v>
      </c>
      <c r="F5" t="s">
        <v>401</v>
      </c>
    </row>
    <row r="6" spans="2:6">
      <c r="B6" t="s">
        <v>212</v>
      </c>
      <c r="C6" t="s">
        <v>411</v>
      </c>
      <c r="D6" t="s">
        <v>412</v>
      </c>
      <c r="E6" t="s">
        <v>413</v>
      </c>
      <c r="F6" t="s">
        <v>401</v>
      </c>
    </row>
    <row r="7" spans="2:6">
      <c r="B7" t="s">
        <v>208</v>
      </c>
      <c r="C7" t="s">
        <v>414</v>
      </c>
      <c r="D7" t="s">
        <v>415</v>
      </c>
      <c r="E7" t="s">
        <v>416</v>
      </c>
      <c r="F7" t="s">
        <v>401</v>
      </c>
    </row>
    <row r="8" spans="2:6">
      <c r="B8" t="s">
        <v>209</v>
      </c>
      <c r="C8" t="s">
        <v>414</v>
      </c>
      <c r="D8" t="s">
        <v>417</v>
      </c>
      <c r="E8" t="s">
        <v>418</v>
      </c>
      <c r="F8" t="s">
        <v>401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9F51-4C1D-4E35-B6F7-6544E4BD051E}">
  <dimension ref="B1:F4"/>
  <sheetViews>
    <sheetView workbookViewId="0">
      <selection activeCell="B3" sqref="B3:B4"/>
    </sheetView>
  </sheetViews>
  <sheetFormatPr defaultRowHeight="15"/>
  <cols>
    <col min="1" max="1" width="0.85546875" customWidth="1"/>
    <col min="2" max="2" width="13.42578125" bestFit="1" customWidth="1"/>
    <col min="3" max="3" width="12.5703125" bestFit="1" customWidth="1"/>
    <col min="4" max="4" width="37" bestFit="1" customWidth="1"/>
    <col min="5" max="5" width="17" bestFit="1" customWidth="1"/>
    <col min="6" max="6" width="11" bestFit="1" customWidth="1"/>
  </cols>
  <sheetData>
    <row r="1" spans="2:6" ht="5.0999999999999996" customHeight="1"/>
    <row r="2" spans="2:6">
      <c r="B2" t="s">
        <v>230</v>
      </c>
      <c r="C2" t="s">
        <v>387</v>
      </c>
      <c r="D2" t="s">
        <v>388</v>
      </c>
      <c r="E2" t="s">
        <v>389</v>
      </c>
      <c r="F2" t="s">
        <v>390</v>
      </c>
    </row>
    <row r="3" spans="2:6">
      <c r="B3" t="s">
        <v>63</v>
      </c>
      <c r="C3" t="s">
        <v>391</v>
      </c>
      <c r="D3" t="s">
        <v>420</v>
      </c>
      <c r="E3">
        <v>1023</v>
      </c>
      <c r="F3" t="s">
        <v>397</v>
      </c>
    </row>
    <row r="4" spans="2:6">
      <c r="B4" t="s">
        <v>228</v>
      </c>
      <c r="C4" t="s">
        <v>391</v>
      </c>
      <c r="D4" t="s">
        <v>421</v>
      </c>
      <c r="E4">
        <v>3</v>
      </c>
      <c r="F4" t="s">
        <v>422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62B2-E811-4F25-B8A2-F1CBE88286A0}">
  <dimension ref="B1:F6"/>
  <sheetViews>
    <sheetView showGridLines="0" showRowColHeaders="0" workbookViewId="0">
      <selection activeCell="B2" sqref="B2"/>
    </sheetView>
  </sheetViews>
  <sheetFormatPr defaultRowHeight="15"/>
  <cols>
    <col min="1" max="1" width="0.85546875" customWidth="1"/>
    <col min="2" max="2" width="13.42578125" bestFit="1" customWidth="1"/>
    <col min="3" max="3" width="14.140625" bestFit="1" customWidth="1"/>
    <col min="4" max="4" width="26.5703125" bestFit="1" customWidth="1"/>
    <col min="5" max="5" width="23.7109375" bestFit="1" customWidth="1"/>
    <col min="6" max="6" width="11" bestFit="1" customWidth="1"/>
  </cols>
  <sheetData>
    <row r="1" spans="2:6" ht="5.0999999999999996" customHeight="1"/>
    <row r="2" spans="2:6">
      <c r="B2" t="s">
        <v>230</v>
      </c>
      <c r="C2" t="s">
        <v>387</v>
      </c>
      <c r="D2" t="s">
        <v>388</v>
      </c>
      <c r="E2" t="s">
        <v>389</v>
      </c>
      <c r="F2" t="s">
        <v>390</v>
      </c>
    </row>
    <row r="3" spans="2:6">
      <c r="B3" t="s">
        <v>187</v>
      </c>
      <c r="C3" t="s">
        <v>391</v>
      </c>
      <c r="D3" t="s">
        <v>424</v>
      </c>
      <c r="E3" t="s">
        <v>435</v>
      </c>
      <c r="F3" t="s">
        <v>49</v>
      </c>
    </row>
    <row r="4" spans="2:6">
      <c r="B4" t="s">
        <v>210</v>
      </c>
      <c r="C4" t="s">
        <v>405</v>
      </c>
      <c r="D4" t="s">
        <v>436</v>
      </c>
      <c r="E4" t="s">
        <v>437</v>
      </c>
      <c r="F4" t="s">
        <v>49</v>
      </c>
    </row>
    <row r="5" spans="2:6">
      <c r="B5" t="s">
        <v>211</v>
      </c>
      <c r="C5" t="s">
        <v>408</v>
      </c>
      <c r="D5" t="s">
        <v>438</v>
      </c>
      <c r="E5" t="s">
        <v>439</v>
      </c>
      <c r="F5" t="s">
        <v>49</v>
      </c>
    </row>
    <row r="6" spans="2:6">
      <c r="B6" t="s">
        <v>212</v>
      </c>
      <c r="C6" t="s">
        <v>411</v>
      </c>
      <c r="D6" t="s">
        <v>429</v>
      </c>
      <c r="E6" t="s">
        <v>440</v>
      </c>
      <c r="F6" t="s">
        <v>49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045D-80CE-4BC1-9F83-A94E43FF5EA1}">
  <dimension ref="B1:F6"/>
  <sheetViews>
    <sheetView showGridLines="0" showRowColHeaders="0" workbookViewId="0">
      <selection activeCell="B3" sqref="B3:B6"/>
    </sheetView>
  </sheetViews>
  <sheetFormatPr defaultRowHeight="15"/>
  <cols>
    <col min="1" max="1" width="0.85546875" customWidth="1"/>
    <col min="2" max="2" width="13.42578125" bestFit="1" customWidth="1"/>
    <col min="3" max="3" width="14.140625" bestFit="1" customWidth="1"/>
    <col min="4" max="4" width="19.85546875" bestFit="1" customWidth="1"/>
    <col min="5" max="5" width="28.140625" bestFit="1" customWidth="1"/>
    <col min="6" max="6" width="11" bestFit="1" customWidth="1"/>
  </cols>
  <sheetData>
    <row r="1" spans="2:6" ht="5.0999999999999996" customHeight="1"/>
    <row r="2" spans="2:6">
      <c r="B2" t="s">
        <v>230</v>
      </c>
      <c r="C2" t="s">
        <v>387</v>
      </c>
      <c r="D2" t="s">
        <v>388</v>
      </c>
      <c r="E2" t="s">
        <v>389</v>
      </c>
      <c r="F2" t="s">
        <v>390</v>
      </c>
    </row>
    <row r="3" spans="2:6">
      <c r="B3" s="45" t="s">
        <v>187</v>
      </c>
      <c r="C3" s="45" t="s">
        <v>391</v>
      </c>
      <c r="D3" s="45" t="s">
        <v>424</v>
      </c>
      <c r="E3" s="45" t="s">
        <v>444</v>
      </c>
      <c r="F3" s="45" t="s">
        <v>49</v>
      </c>
    </row>
    <row r="4" spans="2:6">
      <c r="B4" s="45" t="s">
        <v>210</v>
      </c>
      <c r="C4" s="45" t="s">
        <v>405</v>
      </c>
      <c r="D4" s="45" t="s">
        <v>445</v>
      </c>
      <c r="E4" s="45" t="s">
        <v>446</v>
      </c>
      <c r="F4" s="45" t="s">
        <v>49</v>
      </c>
    </row>
    <row r="5" spans="2:6">
      <c r="B5" s="45" t="s">
        <v>211</v>
      </c>
      <c r="C5" s="45" t="s">
        <v>408</v>
      </c>
      <c r="D5" s="45" t="s">
        <v>438</v>
      </c>
      <c r="E5" s="45" t="s">
        <v>447</v>
      </c>
      <c r="F5" s="45" t="s">
        <v>49</v>
      </c>
    </row>
    <row r="6" spans="2:6">
      <c r="B6" s="45" t="s">
        <v>212</v>
      </c>
      <c r="C6" s="45" t="s">
        <v>411</v>
      </c>
      <c r="D6" s="45" t="s">
        <v>429</v>
      </c>
      <c r="E6" s="45" t="s">
        <v>448</v>
      </c>
      <c r="F6" s="45" t="s">
        <v>49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3551-183C-4EA5-ABAF-B0BA619E85BD}">
  <dimension ref="B1:F4"/>
  <sheetViews>
    <sheetView showGridLines="0" showRowColHeaders="0" workbookViewId="0">
      <selection activeCell="B3" sqref="B3:B4"/>
    </sheetView>
  </sheetViews>
  <sheetFormatPr defaultRowHeight="15"/>
  <cols>
    <col min="1" max="1" width="0.85546875" customWidth="1"/>
    <col min="2" max="2" width="15.28515625" bestFit="1" customWidth="1"/>
    <col min="3" max="3" width="12.5703125" bestFit="1" customWidth="1"/>
    <col min="4" max="4" width="43.85546875" bestFit="1" customWidth="1"/>
    <col min="5" max="5" width="17" bestFit="1" customWidth="1"/>
    <col min="6" max="6" width="19" bestFit="1" customWidth="1"/>
  </cols>
  <sheetData>
    <row r="1" spans="2:6" ht="5.0999999999999996" customHeight="1"/>
    <row r="2" spans="2:6">
      <c r="B2" t="s">
        <v>230</v>
      </c>
      <c r="C2" t="s">
        <v>387</v>
      </c>
      <c r="D2" t="s">
        <v>388</v>
      </c>
      <c r="E2" t="s">
        <v>389</v>
      </c>
      <c r="F2" t="s">
        <v>390</v>
      </c>
    </row>
    <row r="3" spans="2:6">
      <c r="B3" s="45" t="s">
        <v>63</v>
      </c>
      <c r="C3" s="45" t="s">
        <v>391</v>
      </c>
      <c r="D3" s="45" t="s">
        <v>441</v>
      </c>
      <c r="E3">
        <v>1023</v>
      </c>
      <c r="F3" s="45" t="s">
        <v>397</v>
      </c>
    </row>
    <row r="4" spans="2:6">
      <c r="B4" s="45" t="s">
        <v>180</v>
      </c>
      <c r="C4" s="45" t="s">
        <v>391</v>
      </c>
      <c r="D4" s="45" t="s">
        <v>442</v>
      </c>
      <c r="E4">
        <v>7</v>
      </c>
      <c r="F4" s="45" t="s">
        <v>443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703D-70FA-479C-92A5-E85E19B0B46A}">
  <dimension ref="B1:F5"/>
  <sheetViews>
    <sheetView showGridLines="0" showRowColHeaders="0" workbookViewId="0">
      <selection activeCell="B2" sqref="B2"/>
    </sheetView>
  </sheetViews>
  <sheetFormatPr defaultRowHeight="15"/>
  <cols>
    <col min="1" max="1" width="0.85546875" customWidth="1"/>
    <col min="2" max="2" width="13.42578125" bestFit="1" customWidth="1"/>
    <col min="3" max="3" width="21.140625" bestFit="1" customWidth="1"/>
    <col min="4" max="4" width="36.85546875" bestFit="1" customWidth="1"/>
    <col min="5" max="5" width="17" bestFit="1" customWidth="1"/>
    <col min="6" max="6" width="15" bestFit="1" customWidth="1"/>
  </cols>
  <sheetData>
    <row r="1" spans="2:6" ht="5.0999999999999996" customHeight="1"/>
    <row r="2" spans="2:6">
      <c r="B2" t="s">
        <v>230</v>
      </c>
      <c r="C2" t="s">
        <v>387</v>
      </c>
      <c r="D2" t="s">
        <v>388</v>
      </c>
      <c r="E2" t="s">
        <v>389</v>
      </c>
      <c r="F2" t="s">
        <v>390</v>
      </c>
    </row>
    <row r="3" spans="2:6">
      <c r="B3" s="45" t="s">
        <v>187</v>
      </c>
      <c r="C3" s="45" t="s">
        <v>402</v>
      </c>
      <c r="D3" s="45" t="s">
        <v>424</v>
      </c>
      <c r="E3">
        <v>12</v>
      </c>
      <c r="F3" s="45" t="s">
        <v>49</v>
      </c>
    </row>
    <row r="4" spans="2:6">
      <c r="B4" s="45" t="s">
        <v>164</v>
      </c>
      <c r="C4" s="45" t="s">
        <v>391</v>
      </c>
      <c r="D4" s="45" t="s">
        <v>449</v>
      </c>
      <c r="E4">
        <v>7</v>
      </c>
      <c r="F4" s="45" t="s">
        <v>394</v>
      </c>
    </row>
    <row r="5" spans="2:6">
      <c r="B5" s="45" t="s">
        <v>226</v>
      </c>
      <c r="C5" s="45" t="s">
        <v>391</v>
      </c>
      <c r="D5" s="45" t="s">
        <v>450</v>
      </c>
      <c r="E5">
        <v>5</v>
      </c>
      <c r="F5" s="45" t="s">
        <v>451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AF54-5D2D-4185-9776-D891DBA7BB88}">
  <dimension ref="B1:F7"/>
  <sheetViews>
    <sheetView showGridLines="0" showRowColHeaders="0" workbookViewId="0">
      <selection activeCell="B3" sqref="B3:B7"/>
    </sheetView>
  </sheetViews>
  <sheetFormatPr defaultRowHeight="15"/>
  <cols>
    <col min="1" max="1" width="0.85546875" customWidth="1"/>
    <col min="2" max="2" width="13.42578125" bestFit="1" customWidth="1"/>
    <col min="3" max="3" width="21.140625" bestFit="1" customWidth="1"/>
    <col min="4" max="4" width="38.5703125" bestFit="1" customWidth="1"/>
    <col min="5" max="5" width="21.7109375" bestFit="1" customWidth="1"/>
    <col min="6" max="6" width="11" bestFit="1" customWidth="1"/>
  </cols>
  <sheetData>
    <row r="1" spans="2:6" ht="5.0999999999999996" customHeight="1"/>
    <row r="2" spans="2:6">
      <c r="B2" t="s">
        <v>230</v>
      </c>
      <c r="C2" t="s">
        <v>387</v>
      </c>
      <c r="D2" t="s">
        <v>388</v>
      </c>
      <c r="E2" t="s">
        <v>389</v>
      </c>
      <c r="F2" t="s">
        <v>390</v>
      </c>
    </row>
    <row r="3" spans="2:6">
      <c r="B3" s="45" t="s">
        <v>187</v>
      </c>
      <c r="C3" s="45" t="s">
        <v>402</v>
      </c>
      <c r="D3" s="45" t="s">
        <v>452</v>
      </c>
      <c r="E3" s="45" t="s">
        <v>453</v>
      </c>
      <c r="F3" s="45" t="s">
        <v>49</v>
      </c>
    </row>
    <row r="4" spans="2:6">
      <c r="B4" s="45" t="s">
        <v>210</v>
      </c>
      <c r="C4" s="45" t="s">
        <v>398</v>
      </c>
      <c r="D4" s="45" t="s">
        <v>454</v>
      </c>
      <c r="E4" s="45" t="s">
        <v>455</v>
      </c>
      <c r="F4" s="45" t="s">
        <v>49</v>
      </c>
    </row>
    <row r="5" spans="2:6">
      <c r="B5" s="45" t="s">
        <v>211</v>
      </c>
      <c r="C5" s="45" t="s">
        <v>456</v>
      </c>
      <c r="D5" s="45" t="s">
        <v>457</v>
      </c>
      <c r="E5" s="45" t="s">
        <v>458</v>
      </c>
      <c r="F5" s="45" t="s">
        <v>49</v>
      </c>
    </row>
    <row r="6" spans="2:6">
      <c r="B6" s="45" t="s">
        <v>212</v>
      </c>
      <c r="C6" s="45" t="s">
        <v>411</v>
      </c>
      <c r="D6" s="45" t="s">
        <v>461</v>
      </c>
      <c r="E6" s="45" t="s">
        <v>462</v>
      </c>
      <c r="F6" s="45" t="s">
        <v>49</v>
      </c>
    </row>
    <row r="7" spans="2:6">
      <c r="B7" s="45" t="s">
        <v>459</v>
      </c>
      <c r="C7" s="45" t="s">
        <v>391</v>
      </c>
      <c r="D7" s="45" t="s">
        <v>460</v>
      </c>
      <c r="E7" s="45" t="s">
        <v>453</v>
      </c>
      <c r="F7" s="45" t="s">
        <v>49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BC9E-F9FB-46E2-AA30-C899A70A455F}">
  <dimension ref="A1"/>
  <sheetViews>
    <sheetView showGridLines="0" showRowColHeaders="0" workbookViewId="0">
      <selection activeCell="B2" sqref="A1:XFD1048576"/>
    </sheetView>
  </sheetViews>
  <sheetFormatPr defaultRowHeight="15"/>
  <cols>
    <col min="1" max="1" width="0.85546875" customWidth="1"/>
  </cols>
  <sheetData>
    <row r="1" customFormat="1" ht="5.0999999999999996" customHeight="1"/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DAC1-2D18-48C4-89CC-B59A9BD8E425}">
  <dimension ref="A1"/>
  <sheetViews>
    <sheetView showGridLines="0" showRowColHeaders="0" workbookViewId="0">
      <selection activeCell="B2" sqref="B2"/>
    </sheetView>
  </sheetViews>
  <sheetFormatPr defaultRowHeight="15"/>
  <cols>
    <col min="1" max="1" width="0.85546875" customWidth="1"/>
  </cols>
  <sheetData>
    <row r="1" ht="5.0999999999999996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FD607F-4441-4B52-8A59-780FBC47A5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Sheet1</vt:lpstr>
      <vt:lpstr>Sheet6</vt:lpstr>
      <vt:lpstr>StaffTables</vt:lpstr>
      <vt:lpstr>Staff-Links</vt:lpstr>
      <vt:lpstr>tblStaff</vt:lpstr>
      <vt:lpstr>tblStaffDepartments</vt:lpstr>
      <vt:lpstr>tblStaffJobTitles</vt:lpstr>
      <vt:lpstr>tblStaffJobGroups</vt:lpstr>
      <vt:lpstr>tblStaffSchools</vt:lpstr>
      <vt:lpstr>tblStaffAbsences</vt:lpstr>
      <vt:lpstr>tblStaffAbsenceAudit</vt:lpstr>
      <vt:lpstr>tblAbsenceTypes</vt:lpstr>
      <vt:lpstr>tblStaffAssignments</vt:lpstr>
      <vt:lpstr>tblStaffDevices</vt:lpstr>
      <vt:lpstr>tblStaffDeviceAudit</vt:lpstr>
      <vt:lpstr>tblClassMember</vt:lpstr>
      <vt:lpstr>tblStaffLocations</vt:lpstr>
      <vt:lpstr>a_StaffPhases</vt:lpstr>
      <vt:lpstr>tblExternalSystems</vt:lpstr>
      <vt:lpstr>tblResponsibilities</vt:lpstr>
      <vt:lpstr>tblStaffResponsibilities</vt:lpstr>
      <vt:lpstr>tblClassYearGroupAssignments </vt:lpstr>
      <vt:lpstr>tblYearGroups</vt:lpstr>
      <vt:lpstr>Sheet4 (6)</vt:lpstr>
      <vt:lpstr>Sheet4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Battle</dc:creator>
  <cp:lastModifiedBy>Michael Battle</cp:lastModifiedBy>
  <dcterms:created xsi:type="dcterms:W3CDTF">2026-04-14T08:06:03Z</dcterms:created>
  <dcterms:modified xsi:type="dcterms:W3CDTF">2026-04-15T08:41:33Z</dcterms:modified>
</cp:coreProperties>
</file>